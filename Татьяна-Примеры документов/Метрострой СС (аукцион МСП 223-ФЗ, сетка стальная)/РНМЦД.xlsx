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corp.metrostr.ru\net\zgd52\Отдел закупок\Лизункова М.В\2026-23821_Поставка сетки_\на размещение\"/>
    </mc:Choice>
  </mc:AlternateContent>
  <xr:revisionPtr revIDLastSave="0" documentId="13_ncr:1_{BC742D46-3FCB-4CF5-8AEC-D2EA9F8D804F}" xr6:coauthVersionLast="36" xr6:coauthVersionMax="36" xr10:uidLastSave="{00000000-0000-0000-0000-000000000000}"/>
  <bookViews>
    <workbookView xWindow="0" yWindow="0" windowWidth="21570" windowHeight="7980" tabRatio="596" xr2:uid="{00000000-000D-0000-FFFF-FFFF00000000}"/>
  </bookViews>
  <sheets>
    <sheet name="НМЦД" sheetId="2" r:id="rId1"/>
  </sheets>
  <definedNames>
    <definedName name="_xlnm._FilterDatabase" localSheetId="0" hidden="1">НМЦД!$A$5:$AL$10</definedName>
    <definedName name="_xlnm.Print_Area" localSheetId="0">НМЦД!$A$1:$L$17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D9" i="2" l="1"/>
  <c r="D8" i="2"/>
  <c r="D7" i="2"/>
  <c r="K8" i="2" l="1"/>
  <c r="L8" i="2" s="1"/>
  <c r="J8" i="2"/>
  <c r="H8" i="2"/>
  <c r="F8" i="2"/>
  <c r="D10" i="2" l="1"/>
  <c r="K7" i="2" l="1"/>
  <c r="L7" i="2" s="1"/>
  <c r="K9" i="2"/>
  <c r="L9" i="2" s="1"/>
  <c r="J7" i="2"/>
  <c r="J9" i="2"/>
  <c r="H7" i="2"/>
  <c r="H9" i="2"/>
  <c r="F7" i="2"/>
  <c r="F9" i="2"/>
  <c r="L10" i="2" l="1"/>
  <c r="J10" i="2"/>
  <c r="H10" i="2"/>
  <c r="F10" i="2"/>
  <c r="D11" i="2" l="1"/>
  <c r="L11" i="2" l="1"/>
  <c r="H11" i="2" l="1"/>
  <c r="F11" i="2" l="1"/>
  <c r="J11" i="2" l="1"/>
</calcChain>
</file>

<file path=xl/sharedStrings.xml><?xml version="1.0" encoding="utf-8"?>
<sst xmlns="http://schemas.openxmlformats.org/spreadsheetml/2006/main" count="37" uniqueCount="30">
  <si>
    <t>Наименование товара</t>
  </si>
  <si>
    <t>1.</t>
  </si>
  <si>
    <t>2.</t>
  </si>
  <si>
    <t>3.</t>
  </si>
  <si>
    <t>п/п</t>
  </si>
  <si>
    <t>ед. измер.</t>
  </si>
  <si>
    <t>количество</t>
  </si>
  <si>
    <t>НМЦД</t>
  </si>
  <si>
    <t>Стоимость товаров за ед. с учетом НДС руб.</t>
  </si>
  <si>
    <t>Общая
стоимость товаров с учетом НДС руб.</t>
  </si>
  <si>
    <t>НМЦЕ товаров с учетом НДС руб.</t>
  </si>
  <si>
    <t>Ценовое предложение №1</t>
  </si>
  <si>
    <t>Ценовое предложение №2</t>
  </si>
  <si>
    <t>Ценовое предложение №3</t>
  </si>
  <si>
    <t>1</t>
  </si>
  <si>
    <t>м2</t>
  </si>
  <si>
    <t>2</t>
  </si>
  <si>
    <t>3</t>
  </si>
  <si>
    <t>Сетка стальная арматурная 4С 6-А240-150/10-А500С-150 1750х4300</t>
  </si>
  <si>
    <t>Итого без НДС</t>
  </si>
  <si>
    <t>Сетка стальная арматурная 3С 6-А240-200/12-А500С-200  2380х4350</t>
  </si>
  <si>
    <t>Сетка стальная 5Вр-1 150х150 4С 110х485</t>
  </si>
  <si>
    <t>Итого с учетом с НДС</t>
  </si>
  <si>
    <t>Вывод: начальная (максимальная) цена договора с учетом НДС составляет 25 699 839,23 руб., начальная (максимальная) цена договора без НДС составляет 21 065 441,99 руб.</t>
  </si>
  <si>
    <t xml:space="preserve">РАСЧЕТ НАЧАЛЬНОЙ (МАКСИМАЛЬНОЙ) ЦЕНЫ ДОГОВОРА </t>
  </si>
  <si>
    <t>Наименование товара: Поставка сетки стальной сварной</t>
  </si>
  <si>
    <t>Копия КП: Исх. №1 от 26.08.2026 г.</t>
  </si>
  <si>
    <t>Копия КП: Исх. б/н от 24.08.2026 г.</t>
  </si>
  <si>
    <t>Копия КП: Исх. №1457 от 31.08.2026 г.</t>
  </si>
  <si>
    <t xml:space="preserve">Источник информации: Коммерческие предложения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</si>
</sst>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₽_-;\-* #,##0.00\ _₽_-;_-* &quot;-&quot;??\ _₽_-;_-@_-"/>
  </numFmts>
  <fonts count="12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96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NumberFormat="1" applyFont="1" applyAlignment="1">
      <alignment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4" fontId="4" fillId="0" borderId="0" xfId="0" applyNumberFormat="1" applyFont="1"/>
    <xf numFmtId="0" fontId="6" fillId="0" borderId="0" xfId="0" applyNumberFormat="1" applyFont="1" applyAlignment="1">
      <alignment horizontal="left" wrapText="1"/>
    </xf>
    <xf numFmtId="0" fontId="4" fillId="0" borderId="0" xfId="0" applyNumberFormat="1" applyFont="1" applyAlignment="1">
      <alignment horizontal="left" vertical="center" wrapText="1"/>
    </xf>
    <xf numFmtId="0" fontId="4" fillId="0" borderId="0" xfId="0" applyFont="1" applyBorder="1"/>
    <xf numFmtId="49" fontId="4" fillId="0" borderId="5" xfId="0" applyNumberFormat="1" applyFont="1" applyBorder="1" applyAlignment="1">
      <alignment horizontal="center" wrapText="1"/>
    </xf>
    <xf numFmtId="0" fontId="4" fillId="0" borderId="0" xfId="0" applyNumberFormat="1" applyFont="1" applyAlignment="1">
      <alignment horizontal="center" vertical="center" wrapText="1"/>
    </xf>
    <xf numFmtId="4" fontId="7" fillId="0" borderId="0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left" wrapText="1"/>
    </xf>
    <xf numFmtId="4" fontId="4" fillId="0" borderId="4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0" fontId="9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4" fontId="4" fillId="0" borderId="0" xfId="0" applyNumberFormat="1" applyFont="1" applyBorder="1" applyAlignment="1">
      <alignment horizontal="center" wrapText="1"/>
    </xf>
    <xf numFmtId="4" fontId="5" fillId="2" borderId="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NumberFormat="1" applyFont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2" fontId="4" fillId="0" borderId="0" xfId="0" applyNumberFormat="1" applyFont="1" applyBorder="1"/>
    <xf numFmtId="4" fontId="4" fillId="0" borderId="0" xfId="0" applyNumberFormat="1" applyFont="1" applyBorder="1"/>
    <xf numFmtId="0" fontId="10" fillId="0" borderId="0" xfId="0" applyFont="1" applyFill="1" applyBorder="1" applyAlignment="1">
      <alignment horizontal="center" vertical="center" wrapText="1"/>
    </xf>
    <xf numFmtId="4" fontId="6" fillId="0" borderId="6" xfId="0" applyNumberFormat="1" applyFont="1" applyBorder="1" applyAlignment="1">
      <alignment horizontal="center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4" fontId="10" fillId="0" borderId="0" xfId="0" applyNumberFormat="1" applyFon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49" fontId="11" fillId="0" borderId="4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 wrapText="1"/>
    </xf>
    <xf numFmtId="49" fontId="11" fillId="0" borderId="5" xfId="0" applyNumberFormat="1" applyFont="1" applyBorder="1" applyAlignment="1">
      <alignment horizontal="center" wrapText="1"/>
    </xf>
    <xf numFmtId="3" fontId="11" fillId="0" borderId="2" xfId="0" applyNumberFormat="1" applyFont="1" applyBorder="1" applyAlignment="1">
      <alignment horizontal="center" wrapText="1"/>
    </xf>
    <xf numFmtId="0" fontId="11" fillId="0" borderId="2" xfId="0" applyNumberFormat="1" applyFont="1" applyBorder="1" applyAlignment="1">
      <alignment horizontal="center" wrapText="1"/>
    </xf>
    <xf numFmtId="0" fontId="11" fillId="0" borderId="1" xfId="0" applyNumberFormat="1" applyFont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4" fillId="2" borderId="0" xfId="0" applyNumberFormat="1" applyFont="1" applyFill="1" applyBorder="1" applyAlignment="1">
      <alignment horizontal="center" vertical="center" wrapText="1"/>
    </xf>
    <xf numFmtId="4" fontId="6" fillId="0" borderId="0" xfId="0" applyNumberFormat="1" applyFont="1" applyBorder="1" applyAlignment="1">
      <alignment horizontal="center" wrapText="1"/>
    </xf>
    <xf numFmtId="4" fontId="7" fillId="2" borderId="0" xfId="0" applyNumberFormat="1" applyFont="1" applyFill="1" applyBorder="1" applyAlignment="1">
      <alignment horizontal="center" vertical="center" wrapText="1"/>
    </xf>
    <xf numFmtId="4" fontId="5" fillId="2" borderId="0" xfId="0" applyNumberFormat="1" applyFont="1" applyFill="1" applyBorder="1" applyAlignment="1">
      <alignment vertical="center" wrapText="1"/>
    </xf>
    <xf numFmtId="0" fontId="8" fillId="0" borderId="0" xfId="0" applyFont="1"/>
    <xf numFmtId="4" fontId="8" fillId="0" borderId="0" xfId="0" applyNumberFormat="1" applyFont="1"/>
    <xf numFmtId="4" fontId="4" fillId="2" borderId="2" xfId="0" applyNumberFormat="1" applyFont="1" applyFill="1" applyBorder="1" applyAlignment="1">
      <alignment horizontal="center" wrapText="1"/>
    </xf>
    <xf numFmtId="43" fontId="6" fillId="0" borderId="1" xfId="4" applyFont="1" applyFill="1" applyBorder="1" applyAlignment="1">
      <alignment horizontal="left" vertical="center" wrapText="1"/>
    </xf>
    <xf numFmtId="0" fontId="6" fillId="2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wrapText="1"/>
    </xf>
    <xf numFmtId="4" fontId="4" fillId="0" borderId="3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0" fontId="7" fillId="0" borderId="0" xfId="0" applyNumberFormat="1" applyFont="1" applyFill="1" applyAlignment="1">
      <alignment horizontal="left" vertical="center" wrapText="1"/>
    </xf>
    <xf numFmtId="0" fontId="7" fillId="0" borderId="0" xfId="0" applyNumberFormat="1" applyFont="1" applyAlignment="1">
      <alignment horizontal="left" vertical="center" wrapText="1"/>
    </xf>
    <xf numFmtId="0" fontId="6" fillId="2" borderId="0" xfId="0" applyNumberFormat="1" applyFont="1" applyFill="1" applyAlignment="1">
      <alignment horizontal="left" vertical="center" wrapText="1"/>
    </xf>
    <xf numFmtId="0" fontId="4" fillId="0" borderId="0" xfId="0" applyNumberFormat="1" applyFont="1" applyAlignment="1">
      <alignment horizontal="center" vertical="center" wrapText="1"/>
    </xf>
    <xf numFmtId="0" fontId="7" fillId="0" borderId="4" xfId="0" applyFont="1" applyFill="1" applyBorder="1" applyAlignment="1">
      <alignment horizontal="right" vertical="center" wrapText="1"/>
    </xf>
    <xf numFmtId="0" fontId="7" fillId="0" borderId="5" xfId="0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righ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5">
    <cellStyle name="Обычный" xfId="0" builtinId="0"/>
    <cellStyle name="Обычный 2" xfId="1" xr:uid="{00000000-0005-0000-0000-000002000000}"/>
    <cellStyle name="Обычный 4 5 11 2" xfId="3" xr:uid="{00000000-0005-0000-0000-000003000000}"/>
    <cellStyle name="Обычный 4 5 3 6" xfId="2" xr:uid="{00000000-0005-0000-0000-000004000000}"/>
    <cellStyle name="Финансовый" xfId="4" builtinId="3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7"/>
  <sheetViews>
    <sheetView tabSelected="1" view="pageBreakPreview" zoomScaleNormal="100" zoomScaleSheetLayoutView="100" workbookViewId="0">
      <selection activeCell="B13" sqref="B13:H13"/>
    </sheetView>
  </sheetViews>
  <sheetFormatPr defaultColWidth="9.140625" defaultRowHeight="15" x14ac:dyDescent="0.25"/>
  <cols>
    <col min="1" max="1" width="6.140625" style="1" customWidth="1"/>
    <col min="2" max="2" width="43.7109375" style="1" customWidth="1"/>
    <col min="3" max="3" width="8.5703125" style="1" customWidth="1"/>
    <col min="4" max="4" width="11.5703125" style="9" customWidth="1"/>
    <col min="5" max="10" width="15.7109375" style="1" customWidth="1"/>
    <col min="11" max="11" width="15.7109375" style="3" customWidth="1"/>
    <col min="12" max="12" width="15.7109375" style="1" customWidth="1"/>
    <col min="13" max="13" width="23" style="1" customWidth="1"/>
    <col min="14" max="19" width="15.7109375" style="1" customWidth="1"/>
    <col min="20" max="20" width="14.5703125" style="1" customWidth="1"/>
    <col min="21" max="23" width="13.140625" style="1" customWidth="1"/>
    <col min="24" max="24" width="17.140625" style="1" customWidth="1"/>
    <col min="25" max="33" width="14.7109375" style="1" customWidth="1"/>
    <col min="34" max="34" width="12.85546875" style="1" customWidth="1"/>
    <col min="35" max="35" width="15.140625" style="1" customWidth="1"/>
    <col min="36" max="16384" width="9.140625" style="1"/>
  </cols>
  <sheetData>
    <row r="1" spans="1:35" x14ac:dyDescent="0.25">
      <c r="A1" s="87" t="s">
        <v>24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26"/>
      <c r="N1" s="23"/>
      <c r="O1" s="23"/>
      <c r="P1" s="20"/>
      <c r="Q1" s="20"/>
      <c r="R1" s="28"/>
      <c r="S1" s="28"/>
    </row>
    <row r="2" spans="1:35" x14ac:dyDescent="0.25">
      <c r="A2" s="91" t="s">
        <v>25</v>
      </c>
      <c r="B2" s="91"/>
      <c r="C2" s="91"/>
      <c r="D2" s="91"/>
      <c r="E2" s="91"/>
      <c r="F2" s="91"/>
      <c r="G2" s="91"/>
      <c r="H2" s="91"/>
      <c r="I2" s="91"/>
      <c r="J2" s="91"/>
      <c r="K2" s="9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35" x14ac:dyDescent="0.25">
      <c r="A3" s="90" t="s">
        <v>29</v>
      </c>
      <c r="B3" s="90"/>
      <c r="C3" s="90"/>
      <c r="D3" s="90"/>
      <c r="E3" s="90"/>
      <c r="F3" s="90"/>
      <c r="G3" s="90"/>
      <c r="H3" s="90"/>
      <c r="I3" s="90"/>
      <c r="J3" s="90"/>
      <c r="K3" s="90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35" x14ac:dyDescent="0.25">
      <c r="A4" s="94" t="s">
        <v>4</v>
      </c>
      <c r="B4" s="92" t="s">
        <v>0</v>
      </c>
      <c r="C4" s="92" t="s">
        <v>5</v>
      </c>
      <c r="D4" s="68" t="s">
        <v>6</v>
      </c>
      <c r="E4" s="70" t="s">
        <v>11</v>
      </c>
      <c r="F4" s="71"/>
      <c r="G4" s="70" t="s">
        <v>12</v>
      </c>
      <c r="H4" s="71"/>
      <c r="I4" s="70" t="s">
        <v>13</v>
      </c>
      <c r="J4" s="71"/>
      <c r="K4" s="92" t="s">
        <v>10</v>
      </c>
      <c r="L4" s="88" t="s">
        <v>7</v>
      </c>
      <c r="M4" s="30"/>
      <c r="N4" s="30"/>
      <c r="O4" s="30"/>
      <c r="P4" s="30"/>
      <c r="Q4" s="30"/>
      <c r="R4" s="30"/>
      <c r="S4" s="30"/>
      <c r="T4" s="30"/>
      <c r="U4" s="12"/>
      <c r="V4" s="12"/>
      <c r="W4" s="12"/>
      <c r="X4" s="12"/>
      <c r="Y4" s="12"/>
      <c r="Z4" s="12"/>
      <c r="AA4" s="12"/>
      <c r="AB4" s="12"/>
      <c r="AC4" s="12"/>
    </row>
    <row r="5" spans="1:35" ht="75" x14ac:dyDescent="0.25">
      <c r="A5" s="95"/>
      <c r="B5" s="93"/>
      <c r="C5" s="93"/>
      <c r="D5" s="69"/>
      <c r="E5" s="2" t="s">
        <v>8</v>
      </c>
      <c r="F5" s="2" t="s">
        <v>9</v>
      </c>
      <c r="G5" s="2" t="s">
        <v>8</v>
      </c>
      <c r="H5" s="2" t="s">
        <v>9</v>
      </c>
      <c r="I5" s="8" t="s">
        <v>8</v>
      </c>
      <c r="J5" s="8" t="s">
        <v>9</v>
      </c>
      <c r="K5" s="93"/>
      <c r="L5" s="89"/>
      <c r="M5" s="34"/>
      <c r="N5" s="38"/>
      <c r="O5" s="36"/>
      <c r="P5" s="36"/>
      <c r="Q5" s="36"/>
      <c r="R5" s="37"/>
      <c r="S5" s="37"/>
      <c r="T5" s="66"/>
      <c r="U5" s="66"/>
      <c r="V5" s="75"/>
      <c r="W5" s="75"/>
      <c r="X5" s="67"/>
      <c r="Y5" s="67"/>
      <c r="Z5" s="67"/>
      <c r="AA5" s="67"/>
      <c r="AB5" s="67"/>
      <c r="AC5" s="67"/>
      <c r="AD5" s="74"/>
      <c r="AE5" s="74"/>
      <c r="AF5" s="66"/>
      <c r="AG5" s="66"/>
      <c r="AH5" s="74"/>
      <c r="AI5" s="74"/>
    </row>
    <row r="6" spans="1:35" x14ac:dyDescent="0.25">
      <c r="A6" s="44">
        <v>1</v>
      </c>
      <c r="B6" s="45">
        <v>2</v>
      </c>
      <c r="C6" s="46">
        <v>3</v>
      </c>
      <c r="D6" s="47">
        <v>4</v>
      </c>
      <c r="E6" s="48">
        <v>5</v>
      </c>
      <c r="F6" s="49">
        <v>6</v>
      </c>
      <c r="G6" s="48">
        <v>7</v>
      </c>
      <c r="H6" s="48">
        <v>8</v>
      </c>
      <c r="I6" s="50">
        <v>9</v>
      </c>
      <c r="J6" s="50">
        <v>10</v>
      </c>
      <c r="K6" s="51">
        <v>11</v>
      </c>
      <c r="L6" s="52">
        <v>12</v>
      </c>
      <c r="M6" s="53"/>
      <c r="N6" s="53"/>
      <c r="O6" s="30"/>
      <c r="P6" s="30"/>
      <c r="Q6" s="30"/>
      <c r="R6" s="30"/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21"/>
      <c r="AE6" s="21"/>
      <c r="AF6" s="21"/>
      <c r="AG6" s="21"/>
      <c r="AH6" s="21"/>
      <c r="AI6" s="21"/>
    </row>
    <row r="7" spans="1:35" ht="30" x14ac:dyDescent="0.25">
      <c r="A7" s="43" t="s">
        <v>14</v>
      </c>
      <c r="B7" s="64" t="s">
        <v>18</v>
      </c>
      <c r="C7" s="13" t="s">
        <v>15</v>
      </c>
      <c r="D7" s="63">
        <f>(1.75*4.3)*3720</f>
        <v>27993</v>
      </c>
      <c r="E7" s="35">
        <v>900</v>
      </c>
      <c r="F7" s="17">
        <f t="shared" ref="F7:F9" si="0">D7*E7</f>
        <v>25193700</v>
      </c>
      <c r="G7" s="35">
        <f>912</f>
        <v>912</v>
      </c>
      <c r="H7" s="17">
        <f t="shared" ref="H7:H9" si="1">D7*G7</f>
        <v>25529616</v>
      </c>
      <c r="I7" s="35">
        <v>936.35</v>
      </c>
      <c r="J7" s="17">
        <f t="shared" ref="J7:J9" si="2">D7*I7</f>
        <v>26211245.550000001</v>
      </c>
      <c r="K7" s="18">
        <f t="shared" ref="K7:K9" si="3">(E7+G7+I7)/3</f>
        <v>916.12</v>
      </c>
      <c r="L7" s="18">
        <f t="shared" ref="L7:L9" si="4">D7*K7</f>
        <v>25644947.16</v>
      </c>
      <c r="M7" s="58"/>
      <c r="N7" s="24"/>
      <c r="O7" s="24"/>
      <c r="P7" s="24"/>
      <c r="Q7" s="24"/>
      <c r="R7" s="24"/>
      <c r="S7" s="24"/>
      <c r="T7" s="32"/>
      <c r="U7" s="33"/>
      <c r="V7" s="33"/>
      <c r="W7" s="33"/>
      <c r="X7" s="12"/>
      <c r="Y7" s="33"/>
      <c r="Z7" s="33"/>
      <c r="AA7" s="33"/>
      <c r="AB7" s="33"/>
      <c r="AC7" s="33"/>
      <c r="AD7" s="9"/>
      <c r="AE7" s="9"/>
      <c r="AF7" s="9"/>
      <c r="AG7" s="9"/>
      <c r="AH7" s="9"/>
      <c r="AI7" s="9"/>
    </row>
    <row r="8" spans="1:35" ht="30" x14ac:dyDescent="0.25">
      <c r="A8" s="43" t="s">
        <v>16</v>
      </c>
      <c r="B8" s="64" t="s">
        <v>20</v>
      </c>
      <c r="C8" s="13" t="s">
        <v>15</v>
      </c>
      <c r="D8" s="63">
        <f>(2.38*4.35)*3</f>
        <v>31.06</v>
      </c>
      <c r="E8" s="35">
        <v>900</v>
      </c>
      <c r="F8" s="17">
        <f t="shared" si="0"/>
        <v>27954</v>
      </c>
      <c r="G8" s="35">
        <v>896</v>
      </c>
      <c r="H8" s="17">
        <f t="shared" si="1"/>
        <v>27829.759999999998</v>
      </c>
      <c r="I8" s="35">
        <v>988.2</v>
      </c>
      <c r="J8" s="17">
        <f t="shared" si="2"/>
        <v>30693.49</v>
      </c>
      <c r="K8" s="18">
        <f t="shared" si="3"/>
        <v>928.07</v>
      </c>
      <c r="L8" s="18">
        <f t="shared" si="4"/>
        <v>28825.85</v>
      </c>
      <c r="M8" s="58"/>
      <c r="N8" s="24"/>
      <c r="O8" s="24"/>
      <c r="P8" s="24"/>
      <c r="Q8" s="24"/>
      <c r="R8" s="24"/>
      <c r="S8" s="24"/>
      <c r="T8" s="32"/>
      <c r="U8" s="33"/>
      <c r="V8" s="33"/>
      <c r="W8" s="33"/>
      <c r="X8" s="12"/>
      <c r="Y8" s="33"/>
      <c r="Z8" s="33"/>
      <c r="AA8" s="33"/>
      <c r="AB8" s="33"/>
      <c r="AC8" s="33"/>
      <c r="AD8" s="9"/>
      <c r="AE8" s="9"/>
      <c r="AF8" s="9"/>
      <c r="AG8" s="9"/>
      <c r="AH8" s="9"/>
      <c r="AI8" s="9"/>
    </row>
    <row r="9" spans="1:35" x14ac:dyDescent="0.25">
      <c r="A9" s="43" t="s">
        <v>17</v>
      </c>
      <c r="B9" s="64" t="s">
        <v>21</v>
      </c>
      <c r="C9" s="13" t="s">
        <v>15</v>
      </c>
      <c r="D9" s="63">
        <f>(1.1*4.85)*9</f>
        <v>48.02</v>
      </c>
      <c r="E9" s="35">
        <v>900</v>
      </c>
      <c r="F9" s="17">
        <f t="shared" si="0"/>
        <v>43218</v>
      </c>
      <c r="G9" s="35">
        <v>346</v>
      </c>
      <c r="H9" s="17">
        <f t="shared" si="1"/>
        <v>16614.919999999998</v>
      </c>
      <c r="I9" s="35">
        <v>382.47</v>
      </c>
      <c r="J9" s="17">
        <f t="shared" si="2"/>
        <v>18366.21</v>
      </c>
      <c r="K9" s="18">
        <f t="shared" si="3"/>
        <v>542.82000000000005</v>
      </c>
      <c r="L9" s="18">
        <f t="shared" si="4"/>
        <v>26066.22</v>
      </c>
      <c r="M9" s="58"/>
      <c r="N9" s="24"/>
      <c r="O9" s="24"/>
      <c r="P9" s="24"/>
      <c r="Q9" s="24"/>
      <c r="R9" s="24"/>
      <c r="S9" s="24"/>
      <c r="T9" s="32"/>
      <c r="U9" s="33"/>
      <c r="V9" s="33"/>
      <c r="W9" s="33"/>
      <c r="X9" s="12"/>
      <c r="Y9" s="33"/>
      <c r="Z9" s="33"/>
      <c r="AA9" s="33"/>
      <c r="AB9" s="33"/>
      <c r="AC9" s="33"/>
      <c r="AD9" s="9"/>
      <c r="AE9" s="9"/>
      <c r="AF9" s="9"/>
      <c r="AG9" s="9"/>
      <c r="AH9" s="9"/>
      <c r="AI9" s="9"/>
    </row>
    <row r="10" spans="1:35" ht="27" customHeight="1" x14ac:dyDescent="0.25">
      <c r="A10" s="81" t="s">
        <v>22</v>
      </c>
      <c r="B10" s="82"/>
      <c r="C10" s="85" t="s">
        <v>15</v>
      </c>
      <c r="D10" s="42">
        <f>SUM(D7:D9)</f>
        <v>28072.080000000002</v>
      </c>
      <c r="E10" s="72"/>
      <c r="F10" s="40">
        <f>SUM(F7:F9)</f>
        <v>25264872</v>
      </c>
      <c r="G10" s="72"/>
      <c r="H10" s="41">
        <f>SUM(H7:H9)</f>
        <v>25574060.68</v>
      </c>
      <c r="I10" s="72"/>
      <c r="J10" s="41">
        <f>SUM(J7:J9)</f>
        <v>26260305.25</v>
      </c>
      <c r="K10" s="72"/>
      <c r="L10" s="42">
        <f>SUM(L7:L9)</f>
        <v>25699839.23</v>
      </c>
      <c r="M10" s="59"/>
      <c r="N10" s="60"/>
      <c r="O10" s="25"/>
      <c r="P10" s="25"/>
      <c r="Q10" s="25"/>
      <c r="R10" s="25"/>
      <c r="S10" s="25"/>
      <c r="U10" s="9"/>
      <c r="V10" s="9"/>
      <c r="W10" s="9"/>
      <c r="AF10" s="9"/>
      <c r="AG10" s="9"/>
      <c r="AI10" s="9"/>
    </row>
    <row r="11" spans="1:35" ht="27" customHeight="1" x14ac:dyDescent="0.25">
      <c r="A11" s="83" t="s">
        <v>19</v>
      </c>
      <c r="B11" s="84"/>
      <c r="C11" s="86"/>
      <c r="D11" s="56">
        <f>SUM(D7:D9)</f>
        <v>28072.080000000002</v>
      </c>
      <c r="E11" s="73"/>
      <c r="F11" s="54">
        <f>F10/1.22</f>
        <v>20708911.48</v>
      </c>
      <c r="G11" s="73"/>
      <c r="H11" s="55">
        <f>H10/1.22</f>
        <v>20962344.82</v>
      </c>
      <c r="I11" s="73"/>
      <c r="J11" s="55">
        <f>J10/1.22</f>
        <v>21524840.370000001</v>
      </c>
      <c r="K11" s="73"/>
      <c r="L11" s="56">
        <f>L10/1.22</f>
        <v>21065441.989999998</v>
      </c>
      <c r="M11" s="57"/>
      <c r="N11" s="60"/>
      <c r="O11" s="57"/>
      <c r="P11" s="57"/>
      <c r="Q11" s="57"/>
      <c r="R11" s="57"/>
      <c r="S11" s="57"/>
      <c r="U11" s="9"/>
      <c r="V11" s="9"/>
      <c r="W11" s="9"/>
      <c r="AF11" s="9"/>
      <c r="AG11" s="9"/>
      <c r="AI11" s="9"/>
    </row>
    <row r="12" spans="1:35" x14ac:dyDescent="0.25">
      <c r="A12" s="80"/>
      <c r="B12" s="80"/>
      <c r="C12" s="80"/>
      <c r="D12" s="80"/>
      <c r="E12" s="7"/>
      <c r="F12" s="7"/>
      <c r="G12" s="7"/>
      <c r="H12" s="7"/>
      <c r="I12" s="7"/>
      <c r="J12" s="7"/>
      <c r="K12" s="14"/>
      <c r="L12" s="15"/>
      <c r="M12" s="15"/>
      <c r="N12" s="15"/>
      <c r="O12" s="15"/>
      <c r="P12" s="15"/>
      <c r="Q12" s="15"/>
      <c r="R12" s="15"/>
      <c r="S12" s="15"/>
      <c r="T12" s="4"/>
      <c r="Y12" s="9"/>
      <c r="Z12" s="9"/>
      <c r="AA12" s="9"/>
      <c r="AB12" s="9"/>
      <c r="AC12" s="9"/>
      <c r="AD12" s="9"/>
      <c r="AE12" s="9"/>
      <c r="AF12" s="9"/>
      <c r="AG12" s="9"/>
    </row>
    <row r="13" spans="1:35" ht="15" customHeight="1" x14ac:dyDescent="0.25">
      <c r="A13" s="5" t="s">
        <v>1</v>
      </c>
      <c r="B13" s="79" t="s">
        <v>26</v>
      </c>
      <c r="C13" s="79"/>
      <c r="D13" s="79"/>
      <c r="E13" s="79"/>
      <c r="F13" s="79"/>
      <c r="G13" s="79"/>
      <c r="H13" s="79"/>
      <c r="I13" s="10"/>
      <c r="J13" s="16"/>
      <c r="K13" s="11"/>
      <c r="L13" s="4"/>
      <c r="M13" s="4"/>
      <c r="N13" s="39"/>
      <c r="O13" s="4"/>
      <c r="P13" s="4"/>
      <c r="Q13" s="4"/>
      <c r="R13" s="4"/>
      <c r="S13" s="4"/>
      <c r="T13" s="4"/>
      <c r="Y13" s="9"/>
      <c r="Z13" s="9"/>
      <c r="AA13" s="9"/>
      <c r="AB13" s="9"/>
      <c r="AC13" s="9"/>
      <c r="AD13" s="9"/>
      <c r="AE13" s="9"/>
      <c r="AF13" s="9"/>
      <c r="AG13" s="9"/>
    </row>
    <row r="14" spans="1:35" ht="15" customHeight="1" x14ac:dyDescent="0.25">
      <c r="A14" s="6" t="s">
        <v>2</v>
      </c>
      <c r="B14" s="76" t="s">
        <v>27</v>
      </c>
      <c r="C14" s="76"/>
      <c r="D14" s="76"/>
      <c r="E14" s="76"/>
      <c r="F14" s="76"/>
      <c r="G14" s="76"/>
      <c r="H14" s="76"/>
      <c r="I14" s="10"/>
      <c r="J14" s="10"/>
      <c r="K14" s="11"/>
      <c r="L14" s="4"/>
      <c r="M14" s="4"/>
      <c r="N14" s="4"/>
      <c r="O14" s="4"/>
      <c r="P14" s="4"/>
      <c r="Q14" s="4"/>
      <c r="R14" s="4"/>
      <c r="S14" s="4"/>
      <c r="T14" s="4"/>
    </row>
    <row r="15" spans="1:35" x14ac:dyDescent="0.25">
      <c r="A15" s="6" t="s">
        <v>3</v>
      </c>
      <c r="B15" s="65" t="s">
        <v>28</v>
      </c>
      <c r="C15" s="61"/>
      <c r="D15" s="62"/>
      <c r="E15" s="61"/>
      <c r="F15" s="61"/>
      <c r="G15" s="61"/>
      <c r="H15" s="61"/>
      <c r="I15" s="10"/>
      <c r="J15" s="10"/>
      <c r="K15" s="11"/>
      <c r="L15" s="4"/>
      <c r="M15" s="4"/>
      <c r="N15" s="4"/>
      <c r="O15" s="4"/>
      <c r="P15" s="4"/>
      <c r="Q15" s="4"/>
      <c r="R15" s="4"/>
      <c r="S15" s="4"/>
      <c r="T15" s="4"/>
    </row>
    <row r="16" spans="1:35" ht="24.75" customHeight="1" x14ac:dyDescent="0.25">
      <c r="A16" s="77" t="s">
        <v>23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27"/>
      <c r="N16" s="22"/>
      <c r="O16" s="22"/>
      <c r="P16" s="19"/>
      <c r="Q16" s="19"/>
      <c r="R16" s="29"/>
      <c r="S16" s="29"/>
      <c r="T16" s="4"/>
    </row>
    <row r="17" spans="1:20" ht="24.75" customHeight="1" x14ac:dyDescent="0.25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29"/>
      <c r="N17" s="29"/>
      <c r="O17" s="29"/>
      <c r="P17" s="29"/>
      <c r="Q17" s="29"/>
      <c r="R17" s="29"/>
      <c r="S17" s="29"/>
      <c r="T17" s="4"/>
    </row>
  </sheetData>
  <mergeCells count="32">
    <mergeCell ref="A1:L1"/>
    <mergeCell ref="L4:L5"/>
    <mergeCell ref="A2:K2"/>
    <mergeCell ref="A3:K3"/>
    <mergeCell ref="K4:K5"/>
    <mergeCell ref="I4:J4"/>
    <mergeCell ref="G4:H4"/>
    <mergeCell ref="A4:A5"/>
    <mergeCell ref="B4:B5"/>
    <mergeCell ref="C4:C5"/>
    <mergeCell ref="B13:H13"/>
    <mergeCell ref="A12:D12"/>
    <mergeCell ref="A10:B10"/>
    <mergeCell ref="A11:B11"/>
    <mergeCell ref="C10:C11"/>
    <mergeCell ref="B14:H14"/>
    <mergeCell ref="A16:L16"/>
    <mergeCell ref="A17:L17"/>
    <mergeCell ref="AH5:AI5"/>
    <mergeCell ref="V5:W5"/>
    <mergeCell ref="AD5:AE5"/>
    <mergeCell ref="AB5:AC5"/>
    <mergeCell ref="Z5:AA5"/>
    <mergeCell ref="AF5:AG5"/>
    <mergeCell ref="T5:U5"/>
    <mergeCell ref="X5:Y5"/>
    <mergeCell ref="D4:D5"/>
    <mergeCell ref="E4:F4"/>
    <mergeCell ref="E10:E11"/>
    <mergeCell ref="G10:G11"/>
    <mergeCell ref="I10:I11"/>
    <mergeCell ref="K10:K11"/>
  </mergeCells>
  <phoneticPr fontId="2" type="noConversion"/>
  <pageMargins left="0.7" right="0.7" top="0.75" bottom="0.75" header="0.3" footer="0.3"/>
  <pageSetup paperSize="9" scale="67" fitToHeight="0" orientation="landscape" r:id="rId1"/>
  <ignoredErrors>
    <ignoredError sqref="A7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НМЦД</vt:lpstr>
      <vt:lpstr>НМЦД!Область_печати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</dc:creator>
  <cp:lastModifiedBy>Лизункова Марина Владимировна</cp:lastModifiedBy>
  <cp:lastPrinted>2025-03-20T10:16:38Z</cp:lastPrinted>
  <dcterms:created xsi:type="dcterms:W3CDTF">2021-08-23T08:58:50Z</dcterms:created>
  <dcterms:modified xsi:type="dcterms:W3CDTF">2026-09-07T09:42:42Z</dcterms:modified>
</cp:coreProperties>
</file>