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codeName="ЭтаКнига" defaultThemeVersion="124226"/>
  <xr:revisionPtr revIDLastSave="0" documentId="13_ncr:1_{57E30A13-B66E-4413-812E-8EC8DEBBC232}" xr6:coauthVersionLast="36" xr6:coauthVersionMax="36" xr10:uidLastSave="{00000000-0000-0000-0000-000000000000}"/>
  <bookViews>
    <workbookView showHorizontalScroll="0" showVerticalScroll="0" showSheetTabs="0" xWindow="0" yWindow="0" windowWidth="16140" windowHeight="16935" xr2:uid="{00000000-000D-0000-FFFF-FFFF00000000}"/>
  </bookViews>
  <sheets>
    <sheet name="Приложение 1" sheetId="1" r:id="rId1"/>
  </sheets>
  <definedNames>
    <definedName name="_xlnm._FilterDatabase" localSheetId="0" hidden="1">'Приложение 1'!$A$4:$E$9</definedName>
    <definedName name="_xlnm.Print_Area" localSheetId="0">'Приложение 1'!$A$1:$E$9</definedName>
  </definedNames>
  <calcPr calcId="191029" fullPrecision="0"/>
</workbook>
</file>

<file path=xl/calcChain.xml><?xml version="1.0" encoding="utf-8"?>
<calcChain xmlns="http://schemas.openxmlformats.org/spreadsheetml/2006/main">
  <c r="E7" i="1" l="1"/>
  <c r="E6" i="1"/>
  <c r="E9" i="1" l="1"/>
</calcChain>
</file>

<file path=xl/sharedStrings.xml><?xml version="1.0" encoding="utf-8"?>
<sst xmlns="http://schemas.openxmlformats.org/spreadsheetml/2006/main" count="19" uniqueCount="16">
  <si>
    <t>№ п/п:</t>
  </si>
  <si>
    <t>ГОСТ, другие характеристики товаров и/или требования к ним</t>
  </si>
  <si>
    <t>Ед. изм.</t>
  </si>
  <si>
    <t>Количество</t>
  </si>
  <si>
    <r>
      <t xml:space="preserve">Наименование товаров </t>
    </r>
    <r>
      <rPr>
        <b/>
        <sz val="18"/>
        <color rgb="FFFF0000"/>
        <rFont val="Times New Roman"/>
        <family val="1"/>
        <charset val="204"/>
      </rPr>
      <t/>
    </r>
  </si>
  <si>
    <t>м2</t>
  </si>
  <si>
    <t>Итого</t>
  </si>
  <si>
    <t>Сетка стальная арматурная 4С 6-А240-150/10-А500С-150 1750х4300</t>
  </si>
  <si>
    <t xml:space="preserve">ГОСТ 23279-2012
Тип сетки: 4
Габариты карты, мм: 1750х4300 (выпуск стержней 50/50) 
Количество, шт: 3 720 шт
Вес 1 шт, кг: 42,77  </t>
  </si>
  <si>
    <t>ГОСТ 23279-2012
Тип сетки: 3
Габариты карты, мм: 2380х4350 (выпуск стержней 75/90)
Количество, шт: 3
Вес 1 шт, кг: 58,09</t>
  </si>
  <si>
    <t>ГОСТ 23279- 2012
ГОСТ Р 71261-2024 
ГОСТ 6727-80
Сетка сварная
Тип сетки: 4
Габариты ячеек, мм:150х150
Габариты карты, мм: 1100х4850
Кол-во, шт: 9
Вес 1 шт, кг: 11,56</t>
  </si>
  <si>
    <t>Сетка стальная арматурная 3С 6-А240-200/12-А500С-200  2380х4350</t>
  </si>
  <si>
    <t>Сетка стальная 5Вр-1 150х150 4С 110х485</t>
  </si>
  <si>
    <t>Спецификация</t>
  </si>
  <si>
    <t>Приложение №_______-</t>
  </si>
  <si>
    <t>к Договору №________ от _______________2026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</si>
</sst>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[$-419]General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8"/>
      <name val="Arial"/>
      <family val="2"/>
      <charset val="204"/>
    </font>
    <font>
      <sz val="10"/>
      <color theme="1"/>
      <name val="Arial Cyr"/>
      <charset val="204"/>
    </font>
    <font>
      <b/>
      <sz val="18"/>
      <color rgb="FFFF0000"/>
      <name val="Times New Roman"/>
      <family val="1"/>
      <charset val="204"/>
    </font>
    <font>
      <sz val="8"/>
      <name val="Calibri"/>
      <family val="2"/>
      <scheme val="minor"/>
    </font>
    <font>
      <sz val="22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22"/>
      <name val="Times New Roman"/>
      <family val="1"/>
      <charset val="204"/>
    </font>
    <font>
      <b/>
      <sz val="2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10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1" fillId="0" borderId="0"/>
    <xf numFmtId="164" fontId="12" fillId="0" borderId="0"/>
    <xf numFmtId="0" fontId="13" fillId="0" borderId="0">
      <alignment horizontal="left"/>
    </xf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164" fontId="14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17" fillId="0" borderId="0" xfId="0" applyFont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wrapText="1"/>
    </xf>
    <xf numFmtId="0" fontId="17" fillId="0" borderId="0" xfId="0" applyFont="1" applyAlignment="1">
      <alignment horizontal="righ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3" fontId="19" fillId="0" borderId="1" xfId="66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top" wrapText="1"/>
    </xf>
    <xf numFmtId="4" fontId="19" fillId="2" borderId="1" xfId="0" applyNumberFormat="1" applyFont="1" applyFill="1" applyBorder="1" applyAlignment="1">
      <alignment horizontal="center" vertical="center" wrapText="1"/>
    </xf>
    <xf numFmtId="4" fontId="20" fillId="2" borderId="1" xfId="0" applyNumberFormat="1" applyFont="1" applyFill="1" applyBorder="1" applyAlignment="1">
      <alignment horizontal="center" vertical="center" wrapText="1"/>
    </xf>
    <xf numFmtId="43" fontId="19" fillId="2" borderId="1" xfId="66" applyFont="1" applyFill="1" applyBorder="1" applyAlignment="1">
      <alignment horizontal="left" vertical="center" wrapText="1"/>
    </xf>
    <xf numFmtId="0" fontId="20" fillId="0" borderId="0" xfId="0" applyFont="1" applyAlignment="1">
      <alignment horizontal="right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right" vertical="center" wrapText="1"/>
    </xf>
  </cellXfs>
  <cellStyles count="68">
    <cellStyle name="Excel Built-in Normal" xfId="18" xr:uid="{00000000-0005-0000-0000-000000000000}"/>
    <cellStyle name="Excel Built-in Normal 1" xfId="4" xr:uid="{00000000-0005-0000-0000-000001000000}"/>
    <cellStyle name="Excel Built-in Normal 2" xfId="26" xr:uid="{00000000-0005-0000-0000-000002000000}"/>
    <cellStyle name="Обычный" xfId="0" builtinId="0"/>
    <cellStyle name="Обычный 10" xfId="6" xr:uid="{00000000-0005-0000-0000-000004000000}"/>
    <cellStyle name="Обычный 10 2" xfId="12" xr:uid="{00000000-0005-0000-0000-000005000000}"/>
    <cellStyle name="Обычный 10 2 2" xfId="28" xr:uid="{00000000-0005-0000-0000-000006000000}"/>
    <cellStyle name="Обычный 10 2 2 2" xfId="54" xr:uid="{00000000-0005-0000-0000-000007000000}"/>
    <cellStyle name="Обычный 10 2 2 3" xfId="42" xr:uid="{00000000-0005-0000-0000-000008000000}"/>
    <cellStyle name="Обычный 10 2 3" xfId="50" xr:uid="{00000000-0005-0000-0000-000009000000}"/>
    <cellStyle name="Обычный 10 2 4" xfId="38" xr:uid="{00000000-0005-0000-0000-00000A000000}"/>
    <cellStyle name="Обычный 10 2 5" xfId="22" xr:uid="{00000000-0005-0000-0000-00000B000000}"/>
    <cellStyle name="Обычный 10 3" xfId="27" xr:uid="{00000000-0005-0000-0000-00000C000000}"/>
    <cellStyle name="Обычный 10 3 2" xfId="53" xr:uid="{00000000-0005-0000-0000-00000D000000}"/>
    <cellStyle name="Обычный 10 3 3" xfId="41" xr:uid="{00000000-0005-0000-0000-00000E000000}"/>
    <cellStyle name="Обычный 10 4" xfId="49" xr:uid="{00000000-0005-0000-0000-00000F000000}"/>
    <cellStyle name="Обычный 10 5" xfId="37" xr:uid="{00000000-0005-0000-0000-000010000000}"/>
    <cellStyle name="Обычный 10 6" xfId="63" xr:uid="{00000000-0005-0000-0000-000011000000}"/>
    <cellStyle name="Обычный 10 7" xfId="21" xr:uid="{00000000-0005-0000-0000-000012000000}"/>
    <cellStyle name="Обычный 14" xfId="29" xr:uid="{00000000-0005-0000-0000-000013000000}"/>
    <cellStyle name="Обычный 2" xfId="5" xr:uid="{00000000-0005-0000-0000-000014000000}"/>
    <cellStyle name="Обычный 2 11 2" xfId="8" xr:uid="{00000000-0005-0000-0000-000015000000}"/>
    <cellStyle name="Обычный 2 11 2 2" xfId="14" xr:uid="{00000000-0005-0000-0000-000016000000}"/>
    <cellStyle name="Обычный 2 11 2 3" xfId="65" xr:uid="{00000000-0005-0000-0000-000017000000}"/>
    <cellStyle name="Обычный 2 2" xfId="1" xr:uid="{00000000-0005-0000-0000-000018000000}"/>
    <cellStyle name="Обычный 2 2 2" xfId="60" xr:uid="{00000000-0005-0000-0000-000019000000}"/>
    <cellStyle name="Обычный 2 2 3" xfId="23" xr:uid="{00000000-0005-0000-0000-00001A000000}"/>
    <cellStyle name="Обычный 3" xfId="2" xr:uid="{00000000-0005-0000-0000-00001B000000}"/>
    <cellStyle name="Обычный 3 2" xfId="10" xr:uid="{00000000-0005-0000-0000-00001C000000}"/>
    <cellStyle name="Обычный 3 2 2" xfId="61" xr:uid="{00000000-0005-0000-0000-00001D000000}"/>
    <cellStyle name="Обычный 3 3" xfId="19" xr:uid="{00000000-0005-0000-0000-00001E000000}"/>
    <cellStyle name="Обычный 4" xfId="9" xr:uid="{00000000-0005-0000-0000-00001F000000}"/>
    <cellStyle name="Обычный 4 2" xfId="15" xr:uid="{00000000-0005-0000-0000-000020000000}"/>
    <cellStyle name="Обычный 4 2 2" xfId="56" xr:uid="{00000000-0005-0000-0000-000021000000}"/>
    <cellStyle name="Обычный 4 2 3" xfId="44" xr:uid="{00000000-0005-0000-0000-000022000000}"/>
    <cellStyle name="Обычный 4 2 4" xfId="31" xr:uid="{00000000-0005-0000-0000-000023000000}"/>
    <cellStyle name="Обычный 4 3" xfId="30" xr:uid="{00000000-0005-0000-0000-000024000000}"/>
    <cellStyle name="Обычный 4 3 2" xfId="55" xr:uid="{00000000-0005-0000-0000-000025000000}"/>
    <cellStyle name="Обычный 4 3 3" xfId="43" xr:uid="{00000000-0005-0000-0000-000026000000}"/>
    <cellStyle name="Обычный 4 4" xfId="51" xr:uid="{00000000-0005-0000-0000-000027000000}"/>
    <cellStyle name="Обычный 4 5" xfId="39" xr:uid="{00000000-0005-0000-0000-000028000000}"/>
    <cellStyle name="Обычный 4 5 3 6" xfId="67" xr:uid="{B48ADF23-2901-40C7-8B3F-0673043B1FAD}"/>
    <cellStyle name="Обычный 4 6" xfId="24" xr:uid="{00000000-0005-0000-0000-000029000000}"/>
    <cellStyle name="Обычный 41" xfId="3" xr:uid="{00000000-0005-0000-0000-00002A000000}"/>
    <cellStyle name="Обычный 41 2" xfId="11" xr:uid="{00000000-0005-0000-0000-00002B000000}"/>
    <cellStyle name="Обычный 41 3" xfId="62" xr:uid="{00000000-0005-0000-0000-00002C000000}"/>
    <cellStyle name="Обычный 5" xfId="7" xr:uid="{00000000-0005-0000-0000-00002D000000}"/>
    <cellStyle name="Обычный 5 2" xfId="13" xr:uid="{00000000-0005-0000-0000-00002E000000}"/>
    <cellStyle name="Обычный 5 3" xfId="64" xr:uid="{00000000-0005-0000-0000-00002F000000}"/>
    <cellStyle name="Обычный 6" xfId="17" xr:uid="{00000000-0005-0000-0000-000030000000}"/>
    <cellStyle name="Обычный 7" xfId="16" xr:uid="{00000000-0005-0000-0000-000031000000}"/>
    <cellStyle name="Обычный 8" xfId="32" xr:uid="{00000000-0005-0000-0000-000032000000}"/>
    <cellStyle name="Обычный 8 2" xfId="57" xr:uid="{00000000-0005-0000-0000-000033000000}"/>
    <cellStyle name="Обычный 8 3" xfId="45" xr:uid="{00000000-0005-0000-0000-000034000000}"/>
    <cellStyle name="Обычный 9" xfId="20" xr:uid="{00000000-0005-0000-0000-000035000000}"/>
    <cellStyle name="Обычный 9 2" xfId="25" xr:uid="{00000000-0005-0000-0000-000036000000}"/>
    <cellStyle name="Обычный 9 2 2" xfId="34" xr:uid="{00000000-0005-0000-0000-000037000000}"/>
    <cellStyle name="Обычный 9 2 2 2" xfId="59" xr:uid="{00000000-0005-0000-0000-000038000000}"/>
    <cellStyle name="Обычный 9 2 2 3" xfId="47" xr:uid="{00000000-0005-0000-0000-000039000000}"/>
    <cellStyle name="Обычный 9 2 3" xfId="52" xr:uid="{00000000-0005-0000-0000-00003A000000}"/>
    <cellStyle name="Обычный 9 2 4" xfId="40" xr:uid="{00000000-0005-0000-0000-00003B000000}"/>
    <cellStyle name="Обычный 9 3" xfId="33" xr:uid="{00000000-0005-0000-0000-00003C000000}"/>
    <cellStyle name="Обычный 9 3 2" xfId="58" xr:uid="{00000000-0005-0000-0000-00003D000000}"/>
    <cellStyle name="Обычный 9 3 3" xfId="46" xr:uid="{00000000-0005-0000-0000-00003E000000}"/>
    <cellStyle name="Обычный 9 4" xfId="48" xr:uid="{00000000-0005-0000-0000-00003F000000}"/>
    <cellStyle name="Обычный 9 5" xfId="36" xr:uid="{00000000-0005-0000-0000-000040000000}"/>
    <cellStyle name="Процентный 2" xfId="35" xr:uid="{00000000-0005-0000-0000-000041000000}"/>
    <cellStyle name="Финансовый" xfId="66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E9"/>
  <sheetViews>
    <sheetView tabSelected="1" view="pageBreakPreview" topLeftCell="A3" zoomScale="40" zoomScaleNormal="40" zoomScaleSheetLayoutView="40" workbookViewId="0">
      <selection activeCell="E6" sqref="E6"/>
    </sheetView>
  </sheetViews>
  <sheetFormatPr defaultColWidth="9.140625" defaultRowHeight="27.75" x14ac:dyDescent="0.25"/>
  <cols>
    <col min="1" max="1" width="10" style="1" bestFit="1" customWidth="1"/>
    <col min="2" max="2" width="85.85546875" style="2" bestFit="1" customWidth="1"/>
    <col min="3" max="3" width="117.140625" style="7" bestFit="1" customWidth="1"/>
    <col min="4" max="4" width="22.85546875" style="1" customWidth="1"/>
    <col min="5" max="5" width="33.7109375" style="1" customWidth="1"/>
    <col min="6" max="16384" width="9.140625" style="1"/>
  </cols>
  <sheetData>
    <row r="1" spans="1:5" s="5" customFormat="1" ht="29.25" customHeight="1" x14ac:dyDescent="0.25">
      <c r="A1" s="15" t="s">
        <v>14</v>
      </c>
      <c r="B1" s="15"/>
      <c r="C1" s="15"/>
      <c r="D1" s="15"/>
      <c r="E1" s="15"/>
    </row>
    <row r="2" spans="1:5" s="5" customFormat="1" ht="29.25" customHeight="1" x14ac:dyDescent="0.25">
      <c r="A2" s="15" t="s">
        <v>15</v>
      </c>
      <c r="B2" s="15"/>
      <c r="C2" s="15"/>
      <c r="D2" s="15"/>
      <c r="E2" s="15"/>
    </row>
    <row r="3" spans="1:5" ht="31.5" customHeight="1" x14ac:dyDescent="0.25">
      <c r="A3" s="16" t="s">
        <v>13</v>
      </c>
      <c r="B3" s="16"/>
      <c r="C3" s="16"/>
      <c r="D3" s="16"/>
      <c r="E3" s="16"/>
    </row>
    <row r="4" spans="1:5" ht="54" x14ac:dyDescent="0.25">
      <c r="A4" s="3" t="s">
        <v>0</v>
      </c>
      <c r="B4" s="3" t="s">
        <v>4</v>
      </c>
      <c r="C4" s="3" t="s">
        <v>1</v>
      </c>
      <c r="D4" s="3" t="s">
        <v>2</v>
      </c>
      <c r="E4" s="3" t="s">
        <v>3</v>
      </c>
    </row>
    <row r="5" spans="1:5" x14ac:dyDescent="0.35">
      <c r="A5" s="3">
        <v>1</v>
      </c>
      <c r="B5" s="3">
        <v>2</v>
      </c>
      <c r="C5" s="3">
        <v>3</v>
      </c>
      <c r="D5" s="3">
        <v>4</v>
      </c>
      <c r="E5" s="4">
        <v>5</v>
      </c>
    </row>
    <row r="6" spans="1:5" s="2" customFormat="1" ht="216.6" customHeight="1" x14ac:dyDescent="0.25">
      <c r="A6" s="9">
        <v>1</v>
      </c>
      <c r="B6" s="14" t="s">
        <v>7</v>
      </c>
      <c r="C6" s="11" t="s">
        <v>8</v>
      </c>
      <c r="D6" s="8" t="s">
        <v>5</v>
      </c>
      <c r="E6" s="12">
        <f>(1.75*4.3)*3720</f>
        <v>27993</v>
      </c>
    </row>
    <row r="7" spans="1:5" s="2" customFormat="1" ht="216.6" customHeight="1" x14ac:dyDescent="0.25">
      <c r="A7" s="9">
        <v>2</v>
      </c>
      <c r="B7" s="14" t="s">
        <v>11</v>
      </c>
      <c r="C7" s="11" t="s">
        <v>9</v>
      </c>
      <c r="D7" s="8" t="s">
        <v>5</v>
      </c>
      <c r="E7" s="12">
        <f>(2.38*4.35)*3</f>
        <v>31.06</v>
      </c>
    </row>
    <row r="8" spans="1:5" s="2" customFormat="1" ht="278.25" customHeight="1" x14ac:dyDescent="0.25">
      <c r="A8" s="9">
        <v>3</v>
      </c>
      <c r="B8" s="10" t="s">
        <v>12</v>
      </c>
      <c r="C8" s="11" t="s">
        <v>10</v>
      </c>
      <c r="D8" s="8" t="s">
        <v>5</v>
      </c>
      <c r="E8" s="12">
        <v>48.02</v>
      </c>
    </row>
    <row r="9" spans="1:5" ht="78" customHeight="1" x14ac:dyDescent="0.25">
      <c r="A9" s="17" t="s">
        <v>6</v>
      </c>
      <c r="B9" s="18"/>
      <c r="C9" s="18"/>
      <c r="D9" s="6" t="s">
        <v>5</v>
      </c>
      <c r="E9" s="13">
        <f>SUM(E6:E8)</f>
        <v>28072.080000000002</v>
      </c>
    </row>
  </sheetData>
  <autoFilter ref="A4:E9" xr:uid="{2CA5642B-0472-4840-9246-232DF4418B49}"/>
  <mergeCells count="4">
    <mergeCell ref="A1:E1"/>
    <mergeCell ref="A3:E3"/>
    <mergeCell ref="A9:C9"/>
    <mergeCell ref="A2:E2"/>
  </mergeCells>
  <phoneticPr fontId="16" type="noConversion"/>
  <pageMargins left="0.23622047244094491" right="0.23622047244094491" top="0.35433070866141736" bottom="0.31496062992125984" header="0.35433070866141736" footer="0.31496062992125984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 1</vt:lpstr>
      <vt:lpstr>'Приложение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2026-10-02T08:07:15Z</dcterms:modified>
</cp:coreProperties>
</file>