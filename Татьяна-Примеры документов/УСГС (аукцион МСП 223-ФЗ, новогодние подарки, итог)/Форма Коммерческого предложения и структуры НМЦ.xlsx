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омм. предл. и Структура НМЦ" sheetId="1" state="visible" r:id="rId3"/>
    <sheet name="Справочники" sheetId="2" state="hidden" r:id="rId4"/>
  </sheets>
  <definedNames>
    <definedName function="false" hidden="false" localSheetId="0" name="_xlnm.Print_Area" vbProcedure="false">'Комм. предл. и Структура НМЦ'!$A$1:$Y$43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<sst xmlns="http://schemas.openxmlformats.org/spreadsheetml/2006/main" count="92" uniqueCount="60">
  <si>
    <t xml:space="preserve">Приложение 1 к Письму о подаче оферты</t>
  </si>
  <si>
    <t xml:space="preserve">от «___» __________ 202__ г. № _____</t>
  </si>
  <si>
    <t xml:space="preserve">КОММЕРЧЕСКОЕ ПРЕДЛОЖЕНИЕ</t>
  </si>
  <si>
    <t xml:space="preserve">СТРУКТУРА НМЦ</t>
  </si>
  <si>
    <t xml:space="preserve">Наименование Участника:</t>
  </si>
  <si>
    <t xml:space="preserve">ИНН Участника:</t>
  </si>
  <si>
    <t xml:space="preserve">Предмет договора:</t>
  </si>
  <si>
    <t xml:space="preserve">№
п/п</t>
  </si>
  <si>
    <t xml:space="preserve">Наименование
продукции
(товара, работы, услуги)</t>
  </si>
  <si>
    <t xml:space="preserve">Применение законодательства
о национальном режиме (ст. 3.1-4 Закона 223-ФЗ, ПП 1875)</t>
  </si>
  <si>
    <t xml:space="preserve">Единица
измерения</t>
  </si>
  <si>
    <t xml:space="preserve">Закупаемое
количество</t>
  </si>
  <si>
    <t xml:space="preserve">Страна происхождения предлагаемого товара /
страна регистрации лица выполняющего работу, оказывающего услугу</t>
  </si>
  <si>
    <r>
      <rPr>
        <b val="true"/>
        <sz val="12"/>
        <color rgb="FF000000"/>
        <rFont val="Times New Roman"/>
        <family val="1"/>
        <charset val="1"/>
      </rPr>
      <t xml:space="preserve">Наименование реестра и
номер реестровой записи
</t>
    </r>
    <r>
      <rPr>
        <sz val="12"/>
        <color rgb="FF767171"/>
        <rFont val="Times New Roman"/>
        <family val="1"/>
        <charset val="1"/>
      </rPr>
      <t xml:space="preserve">(</t>
    </r>
    <r>
      <rPr>
        <i val="true"/>
        <sz val="12"/>
        <color rgb="FF767171"/>
        <rFont val="Times New Roman"/>
        <family val="1"/>
        <charset val="1"/>
      </rPr>
      <t xml:space="preserve">указывается обязательно при "запрете или ограничении", а также при "минимальной обязательной доле закупок товаров российского происхождения")</t>
    </r>
  </si>
  <si>
    <t xml:space="preserve">Производитель продукции</t>
  </si>
  <si>
    <r>
      <rPr>
        <b val="true"/>
        <sz val="12"/>
        <color rgb="FF000000"/>
        <rFont val="Times New Roman"/>
        <family val="1"/>
        <charset val="1"/>
      </rPr>
      <t xml:space="preserve">НМЦ единицы закупаемой продукции,
руб. без НДС
</t>
    </r>
    <r>
      <rPr>
        <b val="true"/>
        <i val="true"/>
        <sz val="12"/>
        <color rgb="FF000000"/>
        <rFont val="Times New Roman"/>
        <family val="1"/>
        <charset val="1"/>
      </rPr>
      <t xml:space="preserve">(опционально)</t>
    </r>
  </si>
  <si>
    <t xml:space="preserve">Предлагаемая цена одной единицы продукции,
руб. без НДС</t>
  </si>
  <si>
    <t xml:space="preserve">Итоговая стоимость позиции,
руб. без НДС</t>
  </si>
  <si>
    <t xml:space="preserve">Наименование
закупаемой продукции
(товара, работы, услуги)</t>
  </si>
  <si>
    <t xml:space="preserve">Применение законодательств
о национальном режиме (ст. 3.1-4 Закона 223-ФЗ, ПП 1875)</t>
  </si>
  <si>
    <r>
      <rPr>
        <b val="true"/>
        <sz val="12"/>
        <color rgb="FF000000"/>
        <rFont val="Times New Roman"/>
        <family val="1"/>
        <charset val="1"/>
      </rPr>
      <t xml:space="preserve">Сведения, которые должны быть представлены Участником
в Коммерческом предложении
для подтверждения соответствия установленным требованиям в части применения законодательства
о национальном режиме 
</t>
    </r>
    <r>
      <rPr>
        <i val="true"/>
        <sz val="12"/>
        <color rgb="FF767171"/>
        <rFont val="Times New Roman"/>
        <family val="1"/>
        <charset val="1"/>
      </rPr>
      <t xml:space="preserve">(номера столбцов, которые должны быть заполнены в Коммерческом предложении)</t>
    </r>
  </si>
  <si>
    <t xml:space="preserve">Примечание*</t>
  </si>
  <si>
    <t xml:space="preserve">НМЦ по позиции продукции,
руб. без НДС</t>
  </si>
  <si>
    <t xml:space="preserve">Детский новогодний подарок (подарочный набор) в составе:</t>
  </si>
  <si>
    <t xml:space="preserve">шт.</t>
  </si>
  <si>
    <t xml:space="preserve">…</t>
  </si>
  <si>
    <t xml:space="preserve">1.</t>
  </si>
  <si>
    <t xml:space="preserve">Внешняя упаковка </t>
  </si>
  <si>
    <t xml:space="preserve">Национальный режим предоставляется</t>
  </si>
  <si>
    <t xml:space="preserve">не применимо</t>
  </si>
  <si>
    <t xml:space="preserve"> -</t>
  </si>
  <si>
    <t xml:space="preserve">2.</t>
  </si>
  <si>
    <t xml:space="preserve">Кондитерский набор в индивидуальной упаковке </t>
  </si>
  <si>
    <t xml:space="preserve">3.</t>
  </si>
  <si>
    <t xml:space="preserve">Мягкая игрушка «Бобёр-строитель» </t>
  </si>
  <si>
    <t xml:space="preserve">4.</t>
  </si>
  <si>
    <t xml:space="preserve">3Д ручка</t>
  </si>
  <si>
    <t xml:space="preserve">5.</t>
  </si>
  <si>
    <t xml:space="preserve">Набор безопасного PCL-пластика для 3D-ручек</t>
  </si>
  <si>
    <t xml:space="preserve">6.</t>
  </si>
  <si>
    <t xml:space="preserve">Ночник </t>
  </si>
  <si>
    <t xml:space="preserve">Стоимость заявки (цена Договора):</t>
  </si>
  <si>
    <t xml:space="preserve">Итого без НДС:</t>
  </si>
  <si>
    <t xml:space="preserve">НМЦ:</t>
  </si>
  <si>
    <t xml:space="preserve">Кроме того, НДС:</t>
  </si>
  <si>
    <t xml:space="preserve">Итого с НДС:</t>
  </si>
  <si>
    <t xml:space="preserve">(должность подписавшего)</t>
  </si>
  <si>
    <t xml:space="preserve">(подпись)</t>
  </si>
  <si>
    <t xml:space="preserve">М.П.</t>
  </si>
  <si>
    <t xml:space="preserve">(И.О. Фамилия)</t>
  </si>
  <si>
    <t xml:space="preserve">* Если в столбце 8 в отношении закупаемой продукции (с применяемой защитной мерой "Ограничение") указано "Товар отсутствует в реестре" – это означает, что закупаемый товар с характеристиками, соответствующими потребностям Заказчика, отсутствует в Реестре российской промышленной продукции. При заполнении формы Коммерческого предложения в отношении такого товара Участник должен указать наименование страны происхождения предлагаемого товара (без указания номера реестровой записи), за исключением случая, если Участником предлагается к поставке товар, который по состоянию на момент подачи заявки на участие в закупке включен в Реестр российской промышленной продукции (необходимо заполнить соответствующим образом столбцы 6 и 7 Коммерческого предложения).</t>
  </si>
  <si>
    <t xml:space="preserve">Участник заполняет ячейки, в том числе ячейки в столбцах 6 и 7 (в соответствии с требованиями столбца 7 Структуры НМЦ), 8, 10, подсвеченные светло-зеленым цветом. Если Участником предлагается эквивалентная продукция, то в этом случае ее наименование в столбце 2 может быть скорректировано.
Страна происхождения предлагаемого товара / страна регистрации лица выполняющего работу, оказывающего услугу заполняется в соответствии с общероссийским классификатором стран мира.
В столбце 7 при необходимости указывается наименование соответствующего реестра (Реестр российской промышленной продукции; Реестр промышленных товаров государств – членов Евразийского экономического союза, за исключением Российской Федерации; Единый реестр российских программ для электронных вычислительных машин и баз данных; Единый реестр программ для электронных вычислительных машин и баз данных из государств – членов Евразийского экономического союза, за исключением Российской Федерации) и номер реестровой записи.
Примечание: если в столбце 8 Структуры НМЦ указано "Товар не в реестре" – это означает, что закупаемый товар с характеристиками, соответствующими потребностям Заказчика, отсутствует в реестре российской промышленной продукции. При заполнении формы Коммерческого предложения в отношении такого товара Участник указывает в столбце 6 наименование страны происхождения предлагаемого товара (без заполнения соответствующей ячейки столбца 7), за исключением случая, если Участником предлагается к поставке товар, который по состоянию на момент подачи заявки на участие в закупке включен в реестр российской промышленной продукции (необходимо заполнить соответствующим образом ячейки столбцов 6 и 7).
В столбце 10 при необходимости указать коррективную ставку НДС в процентах]
ВНИМАНИЕ: указание Участником в Коммерческом предложении кодов ОКПД 2 не требуется. Предлагаемая к поставке продукция должна соответствовать кодам ОКПД 2, указанным в столбце 4 Структуры НМЦ (данные коды будут перенесены в заключаемый по результатам закупки договор).</t>
  </si>
  <si>
    <t xml:space="preserve">Национальный режим не предоставляется – запрет</t>
  </si>
  <si>
    <t xml:space="preserve">Национальный режим не предоставляется – ограничение</t>
  </si>
  <si>
    <t xml:space="preserve">Национальный режим не предоставляется – преимущество</t>
  </si>
  <si>
    <t xml:space="preserve">Национальный режим не предоставляется – минимальная обязательная доля</t>
  </si>
  <si>
    <t xml:space="preserve">столбцы 6, 7</t>
  </si>
  <si>
    <t xml:space="preserve">столбец 6, столбец 7 (при наличии информации)</t>
  </si>
  <si>
    <t xml:space="preserve">Требования к подтверждающим документам установлены в Технических требованиях</t>
  </si>
  <si>
    <t xml:space="preserve">Товар отсутствует в реестре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</si>
</sst>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@"/>
    <numFmt numFmtId="167" formatCode="#,##0.00"/>
    <numFmt numFmtId="168" formatCode="0%"/>
  </numFmts>
  <fonts count="18">
    <font>
      <sz val="10"/>
      <color rgb="FF000000"/>
      <name val="PT Mono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color rgb="FF000000"/>
      <name val="Times New Roman"/>
      <family val="1"/>
      <charset val="1"/>
    </font>
    <font>
      <i val="true"/>
      <sz val="12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sz val="12"/>
      <color rgb="FF767171"/>
      <name val="Times New Roman"/>
      <family val="1"/>
      <charset val="1"/>
    </font>
    <font>
      <i val="true"/>
      <sz val="12"/>
      <color rgb="FF767171"/>
      <name val="Times New Roman"/>
      <family val="1"/>
      <charset val="1"/>
    </font>
    <font>
      <b val="true"/>
      <i val="true"/>
      <sz val="12"/>
      <color rgb="FF000000"/>
      <name val="Times New Roman"/>
      <family val="1"/>
      <charset val="1"/>
    </font>
    <font>
      <b val="true"/>
      <i val="true"/>
      <sz val="12"/>
      <name val="Times New Roman"/>
      <family val="1"/>
      <charset val="1"/>
    </font>
    <font>
      <b val="true"/>
      <i val="true"/>
      <sz val="12"/>
      <name val="Times New Roman"/>
      <family val="1"/>
      <charset val="204"/>
    </font>
    <font>
      <sz val="12"/>
      <name val="Times New Roman"/>
      <family val="1"/>
      <charset val="1"/>
    </font>
    <font>
      <sz val="10"/>
      <name val="Arial"/>
      <family val="2"/>
      <charset val="1"/>
    </font>
    <font>
      <sz val="12"/>
      <color rgb="FF000000"/>
      <name val="Times New Roman"/>
      <family val="1"/>
      <charset val="204"/>
    </font>
    <font>
      <i val="true"/>
      <sz val="10"/>
      <color rgb="FF000000"/>
      <name val="Times New Roman"/>
      <family val="1"/>
      <charset val="1"/>
    </font>
    <font>
      <i val="true"/>
      <sz val="12"/>
      <name val="Times New Roman"/>
      <family val="1"/>
      <charset val="1"/>
    </font>
    <font>
      <sz val="10"/>
      <color rgb="FF000000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E2F0D9"/>
      </patternFill>
    </fill>
    <fill>
      <patternFill patternType="solid">
        <fgColor rgb="FFE2F0D9"/>
        <bgColor rgb="FFE7E6E6"/>
      </patternFill>
    </fill>
    <fill>
      <patternFill patternType="solid">
        <fgColor rgb="FFFBE5D6"/>
        <bgColor rgb="FFE7E6E6"/>
      </patternFill>
    </fill>
    <fill>
      <patternFill patternType="solid">
        <fgColor rgb="FFE7E6E6"/>
        <bgColor rgb="FFE2F0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7F7F7F"/>
      </bottom>
      <diagonal/>
    </border>
    <border diagonalUp="false" diagonalDown="false">
      <left style="medium">
        <color rgb="FF7F7F7F"/>
      </left>
      <right/>
      <top style="medium">
        <color rgb="FF7F7F7F"/>
      </top>
      <bottom/>
      <diagonal/>
    </border>
    <border diagonalUp="false" diagonalDown="false">
      <left/>
      <right/>
      <top style="medium">
        <color rgb="FF7F7F7F"/>
      </top>
      <bottom/>
      <diagonal/>
    </border>
    <border diagonalUp="false" diagonalDown="false">
      <left/>
      <right style="medium">
        <color rgb="FF7F7F7F"/>
      </right>
      <top style="medium">
        <color rgb="FF7F7F7F"/>
      </top>
      <bottom/>
      <diagonal/>
    </border>
    <border diagonalUp="false" diagonalDown="false">
      <left style="medium">
        <color rgb="FF7F7F7F"/>
      </left>
      <right/>
      <top/>
      <bottom/>
      <diagonal/>
    </border>
    <border diagonalUp="false" diagonalDown="false">
      <left/>
      <right style="medium">
        <color rgb="FF7F7F7F"/>
      </right>
      <top/>
      <bottom/>
      <diagonal/>
    </border>
    <border diagonalUp="false" diagonalDown="false">
      <left/>
      <right/>
      <top/>
      <bottom style="thin">
        <color rgb="FF7F7F7F"/>
      </bottom>
      <diagonal/>
    </border>
    <border diagonalUp="false" diagonalDown="false">
      <left/>
      <right/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hair"/>
      <top/>
      <bottom style="hair"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/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/>
      <right/>
      <top style="thin">
        <color rgb="FF7F7F7F"/>
      </top>
      <bottom/>
      <diagonal/>
    </border>
    <border diagonalUp="false" diagonalDown="false">
      <left style="medium">
        <color rgb="FF7F7F7F"/>
      </left>
      <right/>
      <top/>
      <bottom style="medium">
        <color rgb="FF7F7F7F"/>
      </bottom>
      <diagonal/>
    </border>
    <border diagonalUp="false" diagonalDown="false">
      <left/>
      <right style="medium">
        <color rgb="FF7F7F7F"/>
      </right>
      <top/>
      <bottom style="medium">
        <color rgb="FF7F7F7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false" hidden="false"/>
    </xf>
    <xf numFmtId="164" fontId="5" fillId="2" borderId="0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false" hidden="false"/>
    </xf>
    <xf numFmtId="164" fontId="5" fillId="2" borderId="0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4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top" textRotation="0" wrapText="true" indent="0" shrinkToFit="false"/>
      <protection locked="false" hidden="false"/>
    </xf>
    <xf numFmtId="164" fontId="4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top" textRotation="0" wrapText="false" indent="0" shrinkToFit="false"/>
      <protection locked="false" hidden="false"/>
    </xf>
    <xf numFmtId="164" fontId="6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3" borderId="7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4" fillId="3" borderId="8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6" fillId="0" borderId="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9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6" fillId="4" borderId="9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9" fillId="0" borderId="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0" borderId="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9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9" fillId="4" borderId="9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11" fillId="0" borderId="9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4" fillId="0" borderId="5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3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2" borderId="9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4" fillId="3" borderId="9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12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3" borderId="9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7" fontId="4" fillId="0" borderId="9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4" fillId="0" borderId="6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4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13" fillId="0" borderId="1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0" borderId="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6" fillId="0" borderId="8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0" borderId="1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6" fillId="0" borderId="9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8" fontId="6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4" fillId="3" borderId="7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64" fontId="15" fillId="0" borderId="1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6" fillId="5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BE5D6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67171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Z1048576"/>
  <sheetViews>
    <sheetView showFormulas="false" showGridLines="fals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G16" activeCellId="0" sqref="G16"/>
    </sheetView>
  </sheetViews>
  <sheetFormatPr defaultColWidth="18.66796875" defaultRowHeight="15" customHeight="false" zeroHeight="false" outlineLevelRow="0" outlineLevelCol="0"/>
  <cols>
    <col collapsed="false" customWidth="true" hidden="false" outlineLevel="0" max="2" min="1" style="1" width="4.66"/>
    <col collapsed="false" customWidth="true" hidden="false" outlineLevel="0" max="3" min="3" style="1" width="6.66"/>
    <col collapsed="false" customWidth="true" hidden="false" outlineLevel="0" max="4" min="4" style="1" width="30.67"/>
    <col collapsed="false" customWidth="true" hidden="false" outlineLevel="0" max="5" min="5" style="1" width="40.79"/>
    <col collapsed="false" customWidth="true" hidden="false" outlineLevel="0" max="7" min="6" style="1" width="14.66"/>
    <col collapsed="false" customWidth="true" hidden="false" outlineLevel="0" max="8" min="8" style="1" width="27.89"/>
    <col collapsed="false" customWidth="true" hidden="false" outlineLevel="0" max="9" min="9" style="1" width="29.86"/>
    <col collapsed="false" customWidth="true" hidden="false" outlineLevel="0" max="10" min="10" style="1" width="28.92"/>
    <col collapsed="false" customWidth="false" hidden="false" outlineLevel="0" max="13" min="11" style="1" width="18.66"/>
    <col collapsed="false" customWidth="true" hidden="false" outlineLevel="0" max="16" min="14" style="1" width="4.66"/>
    <col collapsed="false" customWidth="true" hidden="false" outlineLevel="0" max="17" min="17" style="1" width="6.66"/>
    <col collapsed="false" customWidth="true" hidden="false" outlineLevel="0" max="18" min="18" style="1" width="28.67"/>
    <col collapsed="false" customWidth="true" hidden="false" outlineLevel="0" max="19" min="19" style="1" width="45.8"/>
    <col collapsed="false" customWidth="true" hidden="false" outlineLevel="0" max="20" min="20" style="1" width="14.78"/>
    <col collapsed="false" customWidth="true" hidden="false" outlineLevel="0" max="21" min="21" style="1" width="15.22"/>
    <col collapsed="false" customWidth="true" hidden="false" outlineLevel="0" max="22" min="22" style="1" width="20.97"/>
    <col collapsed="false" customWidth="true" hidden="false" outlineLevel="0" max="23" min="23" style="1" width="14.99"/>
    <col collapsed="false" customWidth="true" hidden="false" outlineLevel="0" max="25" min="24" style="1" width="20.66"/>
    <col collapsed="false" customWidth="false" hidden="false" outlineLevel="0" max="16384" min="26" style="1" width="18.66"/>
  </cols>
  <sheetData>
    <row r="1" s="2" customFormat="true" ht="39.75" hidden="false" customHeight="true" outlineLevel="0" collapsed="false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/>
      <c r="R1" s="5"/>
      <c r="S1" s="5"/>
      <c r="T1" s="5"/>
      <c r="U1" s="5"/>
      <c r="V1" s="5"/>
      <c r="W1" s="5"/>
      <c r="X1" s="5"/>
      <c r="Y1" s="5"/>
    </row>
    <row r="2" customFormat="false" ht="16.5" hidden="false" customHeight="true" outlineLevel="0" collapsed="false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Q2" s="7"/>
      <c r="R2" s="8"/>
      <c r="S2" s="7"/>
      <c r="T2" s="8"/>
      <c r="U2" s="8"/>
      <c r="V2" s="8"/>
      <c r="W2" s="8"/>
      <c r="X2" s="8"/>
      <c r="Y2" s="8"/>
    </row>
    <row r="3" customFormat="false" ht="47.25" hidden="false" customHeight="true" outlineLevel="0" collapsed="false"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customFormat="false" ht="15.75" hidden="false" customHeight="true" outlineLevel="0" collapsed="false">
      <c r="B4" s="12"/>
      <c r="C4" s="13" t="s">
        <v>0</v>
      </c>
      <c r="D4" s="13"/>
      <c r="E4" s="13"/>
      <c r="F4" s="13"/>
      <c r="G4" s="13"/>
      <c r="H4" s="13"/>
      <c r="N4" s="14"/>
    </row>
    <row r="5" customFormat="false" ht="15.75" hidden="false" customHeight="true" outlineLevel="0" collapsed="false">
      <c r="B5" s="12"/>
      <c r="C5" s="15" t="s">
        <v>1</v>
      </c>
      <c r="D5" s="15"/>
      <c r="E5" s="15"/>
      <c r="F5" s="13"/>
      <c r="G5" s="13"/>
      <c r="H5" s="13"/>
      <c r="N5" s="14"/>
    </row>
    <row r="6" customFormat="false" ht="24" hidden="false" customHeight="true" outlineLevel="0" collapsed="false">
      <c r="B6" s="12"/>
      <c r="F6" s="13"/>
      <c r="G6" s="13"/>
      <c r="H6" s="13"/>
      <c r="N6" s="14"/>
      <c r="Q6" s="7"/>
      <c r="R6" s="7"/>
    </row>
    <row r="7" customFormat="false" ht="15" hidden="false" customHeight="false" outlineLevel="0" collapsed="false">
      <c r="B7" s="12"/>
      <c r="C7" s="16" t="s">
        <v>2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4"/>
      <c r="Q7" s="16" t="s">
        <v>3</v>
      </c>
      <c r="R7" s="16"/>
      <c r="S7" s="16"/>
      <c r="T7" s="16"/>
      <c r="U7" s="16"/>
      <c r="V7" s="16"/>
      <c r="W7" s="16"/>
      <c r="X7" s="16"/>
      <c r="Y7" s="16"/>
    </row>
    <row r="8" customFormat="false" ht="24" hidden="false" customHeight="true" outlineLevel="0" collapsed="false">
      <c r="B8" s="12"/>
      <c r="N8" s="14"/>
    </row>
    <row r="9" customFormat="false" ht="24" hidden="false" customHeight="true" outlineLevel="0" collapsed="false">
      <c r="B9" s="12"/>
      <c r="C9" s="17" t="s">
        <v>4</v>
      </c>
      <c r="D9" s="17"/>
      <c r="F9" s="18"/>
      <c r="G9" s="18"/>
      <c r="N9" s="14"/>
    </row>
    <row r="10" customFormat="false" ht="24" hidden="false" customHeight="true" outlineLevel="0" collapsed="false">
      <c r="B10" s="12"/>
      <c r="C10" s="17" t="s">
        <v>5</v>
      </c>
      <c r="D10" s="17"/>
      <c r="F10" s="19"/>
      <c r="G10" s="19"/>
      <c r="N10" s="14"/>
    </row>
    <row r="11" customFormat="false" ht="24" hidden="false" customHeight="true" outlineLevel="0" collapsed="false">
      <c r="B11" s="12"/>
      <c r="C11" s="17" t="s">
        <v>6</v>
      </c>
      <c r="D11" s="17"/>
      <c r="F11" s="19"/>
      <c r="G11" s="19"/>
      <c r="N11" s="14"/>
    </row>
    <row r="12" customFormat="false" ht="15" hidden="false" customHeight="false" outlineLevel="0" collapsed="false">
      <c r="B12" s="12"/>
      <c r="N12" s="14"/>
    </row>
    <row r="13" customFormat="false" ht="184.5" hidden="false" customHeight="true" outlineLevel="0" collapsed="false">
      <c r="B13" s="12"/>
      <c r="C13" s="20" t="s">
        <v>7</v>
      </c>
      <c r="D13" s="20" t="s">
        <v>8</v>
      </c>
      <c r="E13" s="20" t="s">
        <v>9</v>
      </c>
      <c r="F13" s="20" t="s">
        <v>10</v>
      </c>
      <c r="G13" s="20" t="s">
        <v>11</v>
      </c>
      <c r="H13" s="20" t="s">
        <v>12</v>
      </c>
      <c r="I13" s="20" t="s">
        <v>13</v>
      </c>
      <c r="J13" s="20" t="s">
        <v>14</v>
      </c>
      <c r="K13" s="20" t="s">
        <v>15</v>
      </c>
      <c r="L13" s="20" t="s">
        <v>16</v>
      </c>
      <c r="M13" s="20" t="s">
        <v>17</v>
      </c>
      <c r="N13" s="14"/>
      <c r="Q13" s="21" t="s">
        <v>7</v>
      </c>
      <c r="R13" s="21" t="s">
        <v>18</v>
      </c>
      <c r="S13" s="21" t="s">
        <v>19</v>
      </c>
      <c r="T13" s="21" t="s">
        <v>10</v>
      </c>
      <c r="U13" s="21" t="s">
        <v>11</v>
      </c>
      <c r="V13" s="22" t="s">
        <v>20</v>
      </c>
      <c r="W13" s="22" t="s">
        <v>21</v>
      </c>
      <c r="X13" s="21" t="s">
        <v>15</v>
      </c>
      <c r="Y13" s="21" t="s">
        <v>22</v>
      </c>
    </row>
    <row r="14" customFormat="false" ht="15" hidden="false" customHeight="false" outlineLevel="0" collapsed="false">
      <c r="B14" s="12"/>
      <c r="C14" s="23" t="n">
        <v>1</v>
      </c>
      <c r="D14" s="23" t="n">
        <v>2</v>
      </c>
      <c r="E14" s="23" t="n">
        <v>3</v>
      </c>
      <c r="F14" s="24" t="n">
        <v>4</v>
      </c>
      <c r="G14" s="23" t="n">
        <v>5</v>
      </c>
      <c r="H14" s="23" t="n">
        <v>6</v>
      </c>
      <c r="I14" s="23" t="n">
        <v>7</v>
      </c>
      <c r="J14" s="24" t="n">
        <v>8</v>
      </c>
      <c r="K14" s="23" t="n">
        <v>9</v>
      </c>
      <c r="L14" s="23" t="n">
        <v>10</v>
      </c>
      <c r="M14" s="23" t="n">
        <v>11</v>
      </c>
      <c r="N14" s="14"/>
      <c r="Q14" s="25" t="n">
        <v>1</v>
      </c>
      <c r="R14" s="25" t="n">
        <v>2</v>
      </c>
      <c r="S14" s="25" t="n">
        <v>3</v>
      </c>
      <c r="T14" s="25" t="n">
        <v>5</v>
      </c>
      <c r="U14" s="25" t="n">
        <v>6</v>
      </c>
      <c r="V14" s="26" t="n">
        <v>7</v>
      </c>
      <c r="W14" s="26" t="n">
        <v>8</v>
      </c>
      <c r="X14" s="25" t="n">
        <v>9</v>
      </c>
      <c r="Y14" s="25" t="n">
        <v>10</v>
      </c>
    </row>
    <row r="15" customFormat="false" ht="27.7" hidden="false" customHeight="false" outlineLevel="0" collapsed="false">
      <c r="B15" s="12"/>
      <c r="C15" s="23"/>
      <c r="D15" s="23" t="str">
        <f aca="false">R15</f>
        <v>Детский новогодний подарок (подарочный набор) в составе:</v>
      </c>
      <c r="E15" s="23"/>
      <c r="F15" s="24" t="str">
        <f aca="false">T15</f>
        <v>шт.</v>
      </c>
      <c r="G15" s="24" t="n">
        <f aca="false">U15</f>
        <v>2230</v>
      </c>
      <c r="H15" s="23"/>
      <c r="I15" s="23"/>
      <c r="J15" s="24"/>
      <c r="K15" s="23"/>
      <c r="L15" s="23"/>
      <c r="M15" s="23"/>
      <c r="N15" s="14"/>
      <c r="Q15" s="25"/>
      <c r="R15" s="27" t="s">
        <v>23</v>
      </c>
      <c r="S15" s="25"/>
      <c r="T15" s="25" t="s">
        <v>24</v>
      </c>
      <c r="U15" s="25" t="n">
        <v>2230</v>
      </c>
      <c r="V15" s="26"/>
      <c r="W15" s="26"/>
      <c r="X15" s="25"/>
      <c r="Y15" s="25"/>
    </row>
    <row r="16" s="2" customFormat="true" ht="81.75" hidden="false" customHeight="true" outlineLevel="0" collapsed="false">
      <c r="B16" s="28"/>
      <c r="C16" s="29" t="str">
        <f aca="false">Q16</f>
        <v>1.</v>
      </c>
      <c r="D16" s="30" t="str">
        <f aca="false">R16</f>
        <v>Внешняя упаковка </v>
      </c>
      <c r="E16" s="31" t="str">
        <f aca="false">S16</f>
        <v>Национальный режим предоставляется</v>
      </c>
      <c r="F16" s="29" t="str">
        <f aca="false">T16</f>
        <v>шт.</v>
      </c>
      <c r="G16" s="32" t="n">
        <f aca="false">U16</f>
        <v>2230</v>
      </c>
      <c r="H16" s="33" t="s">
        <v>25</v>
      </c>
      <c r="I16" s="34" t="s">
        <v>25</v>
      </c>
      <c r="J16" s="35"/>
      <c r="K16" s="36" t="n">
        <f aca="false">X16</f>
        <v>193</v>
      </c>
      <c r="L16" s="37"/>
      <c r="M16" s="38" t="n">
        <f aca="false">G16*L16</f>
        <v>0</v>
      </c>
      <c r="N16" s="39"/>
      <c r="Q16" s="29" t="s">
        <v>26</v>
      </c>
      <c r="R16" s="40" t="s">
        <v>27</v>
      </c>
      <c r="S16" s="41" t="s">
        <v>28</v>
      </c>
      <c r="T16" s="42" t="s">
        <v>24</v>
      </c>
      <c r="U16" s="43" t="n">
        <v>2230</v>
      </c>
      <c r="V16" s="44" t="s">
        <v>29</v>
      </c>
      <c r="W16" s="44" t="s">
        <v>30</v>
      </c>
      <c r="X16" s="45" t="n">
        <v>193</v>
      </c>
      <c r="Y16" s="38" t="n">
        <f aca="false">U16*X16</f>
        <v>430390</v>
      </c>
    </row>
    <row r="17" s="2" customFormat="true" ht="81.75" hidden="false" customHeight="true" outlineLevel="0" collapsed="false">
      <c r="B17" s="28"/>
      <c r="C17" s="29" t="str">
        <f aca="false">Q17</f>
        <v>2.</v>
      </c>
      <c r="D17" s="30" t="str">
        <f aca="false">R17</f>
        <v>Кондитерский набор в индивидуальной упаковке </v>
      </c>
      <c r="E17" s="31" t="str">
        <f aca="false">S17</f>
        <v>Национальный режим предоставляется</v>
      </c>
      <c r="F17" s="29" t="str">
        <f aca="false">T17</f>
        <v>шт.</v>
      </c>
      <c r="G17" s="32" t="n">
        <f aca="false">U17</f>
        <v>2230</v>
      </c>
      <c r="H17" s="33"/>
      <c r="I17" s="34"/>
      <c r="J17" s="35"/>
      <c r="K17" s="36" t="n">
        <f aca="false">X17</f>
        <v>219</v>
      </c>
      <c r="L17" s="37"/>
      <c r="M17" s="38" t="n">
        <f aca="false">G17*L17</f>
        <v>0</v>
      </c>
      <c r="N17" s="39"/>
      <c r="Q17" s="29" t="s">
        <v>31</v>
      </c>
      <c r="R17" s="40" t="s">
        <v>32</v>
      </c>
      <c r="S17" s="41" t="s">
        <v>28</v>
      </c>
      <c r="T17" s="42" t="s">
        <v>24</v>
      </c>
      <c r="U17" s="46" t="n">
        <v>2230</v>
      </c>
      <c r="V17" s="44" t="s">
        <v>29</v>
      </c>
      <c r="W17" s="44" t="s">
        <v>30</v>
      </c>
      <c r="X17" s="45" t="n">
        <v>219</v>
      </c>
      <c r="Y17" s="38" t="n">
        <f aca="false">U17*X17</f>
        <v>488370</v>
      </c>
    </row>
    <row r="18" s="2" customFormat="true" ht="81.75" hidden="false" customHeight="true" outlineLevel="0" collapsed="false">
      <c r="B18" s="28"/>
      <c r="C18" s="29" t="str">
        <f aca="false">Q18</f>
        <v>3.</v>
      </c>
      <c r="D18" s="30" t="str">
        <f aca="false">R18</f>
        <v>Мягкая игрушка «Бобёр-строитель» </v>
      </c>
      <c r="E18" s="31" t="str">
        <f aca="false">S18</f>
        <v>Национальный режим предоставляется</v>
      </c>
      <c r="F18" s="29" t="str">
        <f aca="false">T18</f>
        <v>шт.</v>
      </c>
      <c r="G18" s="32" t="n">
        <f aca="false">U18</f>
        <v>2230</v>
      </c>
      <c r="H18" s="33"/>
      <c r="I18" s="34"/>
      <c r="J18" s="35"/>
      <c r="K18" s="36" t="n">
        <f aca="false">X18</f>
        <v>1084</v>
      </c>
      <c r="L18" s="37"/>
      <c r="M18" s="38" t="n">
        <f aca="false">G18*L18</f>
        <v>0</v>
      </c>
      <c r="N18" s="39"/>
      <c r="Q18" s="29" t="s">
        <v>33</v>
      </c>
      <c r="R18" s="40" t="s">
        <v>34</v>
      </c>
      <c r="S18" s="41" t="s">
        <v>28</v>
      </c>
      <c r="T18" s="42" t="s">
        <v>24</v>
      </c>
      <c r="U18" s="43" t="n">
        <v>2230</v>
      </c>
      <c r="V18" s="44" t="s">
        <v>29</v>
      </c>
      <c r="W18" s="44" t="s">
        <v>30</v>
      </c>
      <c r="X18" s="45" t="n">
        <v>1084</v>
      </c>
      <c r="Y18" s="38" t="n">
        <f aca="false">U18*X18</f>
        <v>2417320</v>
      </c>
    </row>
    <row r="19" s="2" customFormat="true" ht="81.75" hidden="false" customHeight="true" outlineLevel="0" collapsed="false">
      <c r="B19" s="28"/>
      <c r="C19" s="29" t="str">
        <f aca="false">Q19</f>
        <v>4.</v>
      </c>
      <c r="D19" s="30" t="str">
        <f aca="false">R19</f>
        <v>3Д ручка</v>
      </c>
      <c r="E19" s="31" t="str">
        <f aca="false">S19</f>
        <v>Национальный режим предоставляется</v>
      </c>
      <c r="F19" s="29" t="str">
        <f aca="false">T19</f>
        <v>шт.</v>
      </c>
      <c r="G19" s="32" t="n">
        <f aca="false">U19</f>
        <v>2230</v>
      </c>
      <c r="H19" s="33"/>
      <c r="I19" s="34"/>
      <c r="J19" s="35"/>
      <c r="K19" s="36" t="n">
        <f aca="false">X19</f>
        <v>824</v>
      </c>
      <c r="L19" s="37"/>
      <c r="M19" s="38" t="n">
        <f aca="false">G19*L19</f>
        <v>0</v>
      </c>
      <c r="N19" s="39"/>
      <c r="Q19" s="29" t="s">
        <v>35</v>
      </c>
      <c r="R19" s="40" t="s">
        <v>36</v>
      </c>
      <c r="S19" s="41" t="s">
        <v>28</v>
      </c>
      <c r="T19" s="42" t="s">
        <v>24</v>
      </c>
      <c r="U19" s="46" t="n">
        <v>2230</v>
      </c>
      <c r="V19" s="44" t="s">
        <v>29</v>
      </c>
      <c r="W19" s="44" t="s">
        <v>30</v>
      </c>
      <c r="X19" s="45" t="n">
        <v>824</v>
      </c>
      <c r="Y19" s="38" t="n">
        <f aca="false">U19*X19</f>
        <v>1837520</v>
      </c>
    </row>
    <row r="20" s="2" customFormat="true" ht="81.75" hidden="false" customHeight="true" outlineLevel="0" collapsed="false">
      <c r="B20" s="28"/>
      <c r="C20" s="29" t="str">
        <f aca="false">Q20</f>
        <v>5.</v>
      </c>
      <c r="D20" s="30" t="str">
        <f aca="false">R20</f>
        <v>Набор безопасного PCL-пластика для 3D-ручек</v>
      </c>
      <c r="E20" s="31" t="str">
        <f aca="false">S20</f>
        <v>Национальный режим предоставляется</v>
      </c>
      <c r="F20" s="29" t="str">
        <f aca="false">T20</f>
        <v>шт.</v>
      </c>
      <c r="G20" s="32" t="n">
        <f aca="false">U20</f>
        <v>2230</v>
      </c>
      <c r="H20" s="33"/>
      <c r="I20" s="34"/>
      <c r="J20" s="35"/>
      <c r="K20" s="36" t="n">
        <f aca="false">X20</f>
        <v>450</v>
      </c>
      <c r="L20" s="37"/>
      <c r="M20" s="38" t="n">
        <f aca="false">G20*L20</f>
        <v>0</v>
      </c>
      <c r="N20" s="39"/>
      <c r="Q20" s="29" t="s">
        <v>37</v>
      </c>
      <c r="R20" s="40" t="s">
        <v>38</v>
      </c>
      <c r="S20" s="41" t="s">
        <v>28</v>
      </c>
      <c r="T20" s="42" t="s">
        <v>24</v>
      </c>
      <c r="U20" s="43" t="n">
        <v>2230</v>
      </c>
      <c r="V20" s="44" t="s">
        <v>29</v>
      </c>
      <c r="W20" s="44" t="s">
        <v>30</v>
      </c>
      <c r="X20" s="45" t="n">
        <v>450</v>
      </c>
      <c r="Y20" s="38" t="n">
        <f aca="false">U20*X20</f>
        <v>1003500</v>
      </c>
    </row>
    <row r="21" s="2" customFormat="true" ht="81.75" hidden="false" customHeight="true" outlineLevel="0" collapsed="false">
      <c r="B21" s="28"/>
      <c r="C21" s="29" t="str">
        <f aca="false">Q21</f>
        <v>6.</v>
      </c>
      <c r="D21" s="30" t="str">
        <f aca="false">R21</f>
        <v>Ночник </v>
      </c>
      <c r="E21" s="31" t="str">
        <f aca="false">S21</f>
        <v>Национальный режим предоставляется</v>
      </c>
      <c r="F21" s="29" t="str">
        <f aca="false">T21</f>
        <v>шт.</v>
      </c>
      <c r="G21" s="32" t="n">
        <f aca="false">U21</f>
        <v>2230</v>
      </c>
      <c r="H21" s="33"/>
      <c r="I21" s="34"/>
      <c r="J21" s="35"/>
      <c r="K21" s="36" t="n">
        <f aca="false">X21</f>
        <v>914</v>
      </c>
      <c r="L21" s="37"/>
      <c r="M21" s="38" t="n">
        <f aca="false">G21*L21</f>
        <v>0</v>
      </c>
      <c r="N21" s="39"/>
      <c r="Q21" s="29" t="s">
        <v>39</v>
      </c>
      <c r="R21" s="40" t="s">
        <v>40</v>
      </c>
      <c r="S21" s="41" t="s">
        <v>28</v>
      </c>
      <c r="T21" s="42" t="s">
        <v>24</v>
      </c>
      <c r="U21" s="46" t="n">
        <v>2230</v>
      </c>
      <c r="V21" s="44" t="s">
        <v>29</v>
      </c>
      <c r="W21" s="44" t="s">
        <v>30</v>
      </c>
      <c r="X21" s="45" t="n">
        <v>914</v>
      </c>
      <c r="Y21" s="38" t="n">
        <f aca="false">U21*X21</f>
        <v>2038220</v>
      </c>
    </row>
    <row r="22" customFormat="false" ht="24" hidden="false" customHeight="true" outlineLevel="0" collapsed="false">
      <c r="B22" s="12"/>
      <c r="C22" s="47" t="s">
        <v>41</v>
      </c>
      <c r="D22" s="47"/>
      <c r="E22" s="47"/>
      <c r="F22" s="47"/>
      <c r="G22" s="47"/>
      <c r="H22" s="47"/>
      <c r="I22" s="47"/>
      <c r="J22" s="48" t="s">
        <v>42</v>
      </c>
      <c r="K22" s="48"/>
      <c r="L22" s="48"/>
      <c r="M22" s="49" t="n">
        <f aca="false">SUM(M16:M21)</f>
        <v>0</v>
      </c>
      <c r="N22" s="14"/>
      <c r="Q22" s="50" t="s">
        <v>43</v>
      </c>
      <c r="R22" s="50"/>
      <c r="S22" s="50"/>
      <c r="T22" s="50"/>
      <c r="U22" s="50"/>
      <c r="V22" s="51" t="s">
        <v>42</v>
      </c>
      <c r="W22" s="51"/>
      <c r="X22" s="52"/>
      <c r="Y22" s="53" t="n">
        <f aca="false">SUM(Y16:Y21)</f>
        <v>8215320</v>
      </c>
    </row>
    <row r="23" customFormat="false" ht="24" hidden="false" customHeight="true" outlineLevel="0" collapsed="false">
      <c r="B23" s="12"/>
      <c r="C23" s="47"/>
      <c r="D23" s="47"/>
      <c r="E23" s="47"/>
      <c r="F23" s="47"/>
      <c r="G23" s="47"/>
      <c r="H23" s="47"/>
      <c r="I23" s="47"/>
      <c r="J23" s="48" t="s">
        <v>44</v>
      </c>
      <c r="K23" s="48"/>
      <c r="L23" s="54" t="n">
        <v>0.22</v>
      </c>
      <c r="M23" s="49" t="n">
        <f aca="false">L23*M22</f>
        <v>0</v>
      </c>
      <c r="N23" s="14"/>
      <c r="Q23" s="50"/>
      <c r="R23" s="50"/>
      <c r="S23" s="50"/>
      <c r="T23" s="50"/>
      <c r="U23" s="50"/>
      <c r="V23" s="52" t="s">
        <v>44</v>
      </c>
      <c r="W23" s="52"/>
      <c r="X23" s="55" t="n">
        <v>0.22</v>
      </c>
      <c r="Y23" s="53" t="n">
        <f aca="false">X23*Y22</f>
        <v>1807370.4</v>
      </c>
    </row>
    <row r="24" customFormat="false" ht="24" hidden="false" customHeight="true" outlineLevel="0" collapsed="false">
      <c r="B24" s="12"/>
      <c r="C24" s="47"/>
      <c r="D24" s="47"/>
      <c r="E24" s="47"/>
      <c r="F24" s="47"/>
      <c r="G24" s="47"/>
      <c r="H24" s="47"/>
      <c r="I24" s="47"/>
      <c r="J24" s="48" t="s">
        <v>45</v>
      </c>
      <c r="K24" s="48"/>
      <c r="L24" s="48"/>
      <c r="M24" s="49" t="n">
        <f aca="false">SUM(M22:M23)</f>
        <v>0</v>
      </c>
      <c r="N24" s="14"/>
      <c r="Q24" s="50"/>
      <c r="R24" s="50"/>
      <c r="S24" s="50"/>
      <c r="T24" s="50"/>
      <c r="U24" s="50"/>
      <c r="V24" s="51" t="s">
        <v>45</v>
      </c>
      <c r="W24" s="51"/>
      <c r="X24" s="52"/>
      <c r="Y24" s="53" t="n">
        <f aca="false">SUM(Y22:Y23)</f>
        <v>10022690.4</v>
      </c>
    </row>
    <row r="25" customFormat="false" ht="24" hidden="false" customHeight="true" outlineLevel="0" collapsed="false">
      <c r="B25" s="12"/>
      <c r="J25" s="7"/>
      <c r="K25" s="7"/>
      <c r="N25" s="14"/>
      <c r="Q25" s="56"/>
      <c r="R25" s="56"/>
      <c r="S25" s="56"/>
      <c r="T25" s="56"/>
      <c r="U25" s="56"/>
      <c r="V25" s="56"/>
      <c r="W25" s="56"/>
      <c r="X25" s="56"/>
      <c r="Y25" s="56"/>
    </row>
    <row r="26" customFormat="false" ht="15.75" hidden="false" customHeight="true" outlineLevel="0" collapsed="false">
      <c r="B26" s="12"/>
      <c r="C26" s="18"/>
      <c r="D26" s="18"/>
      <c r="E26" s="18"/>
      <c r="F26" s="57"/>
      <c r="G26" s="58"/>
      <c r="H26" s="57"/>
      <c r="I26" s="58"/>
      <c r="J26" s="59"/>
      <c r="K26" s="59"/>
      <c r="N26" s="14"/>
      <c r="Q26" s="56"/>
      <c r="R26" s="56"/>
      <c r="S26" s="56"/>
      <c r="T26" s="56"/>
      <c r="U26" s="56"/>
      <c r="V26" s="56"/>
      <c r="W26" s="56"/>
      <c r="X26" s="56"/>
      <c r="Y26" s="56"/>
    </row>
    <row r="27" customFormat="false" ht="15" hidden="false" customHeight="false" outlineLevel="0" collapsed="false">
      <c r="B27" s="12"/>
      <c r="C27" s="60" t="s">
        <v>46</v>
      </c>
      <c r="D27" s="60"/>
      <c r="E27" s="60"/>
      <c r="F27" s="57"/>
      <c r="G27" s="61" t="s">
        <v>47</v>
      </c>
      <c r="H27" s="57" t="s">
        <v>48</v>
      </c>
      <c r="I27" s="60" t="s">
        <v>49</v>
      </c>
      <c r="J27" s="61"/>
      <c r="K27" s="61"/>
      <c r="N27" s="14"/>
      <c r="Q27" s="56"/>
      <c r="R27" s="56"/>
      <c r="S27" s="56"/>
      <c r="T27" s="56"/>
      <c r="U27" s="56"/>
      <c r="V27" s="56"/>
      <c r="W27" s="56"/>
      <c r="X27" s="56"/>
      <c r="Y27" s="56"/>
    </row>
    <row r="28" customFormat="false" ht="16.5" hidden="false" customHeight="true" outlineLevel="0" collapsed="false">
      <c r="B28" s="62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4"/>
      <c r="Q28" s="56"/>
      <c r="R28" s="56"/>
      <c r="S28" s="56"/>
      <c r="T28" s="56"/>
      <c r="U28" s="56"/>
      <c r="V28" s="56"/>
      <c r="W28" s="56"/>
      <c r="X28" s="56"/>
      <c r="Y28" s="56"/>
    </row>
    <row r="29" customFormat="false" ht="15.75" hidden="false" customHeight="true" outlineLevel="0" collapsed="false">
      <c r="Q29" s="65" t="s">
        <v>50</v>
      </c>
      <c r="R29" s="65"/>
      <c r="S29" s="65"/>
      <c r="T29" s="65"/>
      <c r="U29" s="65"/>
      <c r="V29" s="65"/>
      <c r="W29" s="65"/>
      <c r="X29" s="65"/>
      <c r="Y29" s="65"/>
    </row>
    <row r="30" customFormat="false" ht="194.45" hidden="false" customHeight="true" outlineLevel="0" collapsed="false">
      <c r="B30" s="66" t="s">
        <v>51</v>
      </c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Q30" s="65"/>
      <c r="R30" s="65"/>
      <c r="S30" s="65"/>
      <c r="T30" s="65"/>
      <c r="U30" s="65"/>
      <c r="V30" s="65"/>
      <c r="W30" s="65"/>
      <c r="X30" s="65"/>
      <c r="Y30" s="65"/>
    </row>
    <row r="31" customFormat="false" ht="24" hidden="true" customHeight="true" outlineLevel="0" collapsed="false"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Q31" s="65"/>
      <c r="R31" s="65"/>
      <c r="S31" s="65"/>
      <c r="T31" s="65"/>
      <c r="U31" s="65"/>
      <c r="V31" s="65"/>
      <c r="W31" s="65"/>
      <c r="X31" s="65"/>
      <c r="Y31" s="65"/>
    </row>
    <row r="32" customFormat="false" ht="24" hidden="true" customHeight="true" outlineLevel="0" collapsed="false"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Q32" s="65"/>
      <c r="R32" s="65"/>
      <c r="S32" s="65"/>
      <c r="T32" s="65"/>
      <c r="U32" s="65"/>
      <c r="V32" s="65"/>
      <c r="W32" s="65"/>
      <c r="X32" s="65"/>
      <c r="Y32" s="65"/>
      <c r="Z32" s="67"/>
    </row>
    <row r="33" customFormat="false" ht="24" hidden="true" customHeight="true" outlineLevel="0" collapsed="false"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Q33" s="65"/>
      <c r="R33" s="65"/>
      <c r="S33" s="65"/>
      <c r="T33" s="65"/>
      <c r="U33" s="65"/>
      <c r="V33" s="65"/>
      <c r="W33" s="65"/>
      <c r="X33" s="65"/>
      <c r="Y33" s="65"/>
      <c r="Z33" s="67"/>
    </row>
    <row r="34" customFormat="false" ht="24" hidden="true" customHeight="true" outlineLevel="0" collapsed="false"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Q34" s="65"/>
      <c r="R34" s="65"/>
      <c r="S34" s="65"/>
      <c r="T34" s="65"/>
      <c r="U34" s="65"/>
      <c r="V34" s="65"/>
      <c r="W34" s="65"/>
      <c r="X34" s="65"/>
      <c r="Y34" s="65"/>
      <c r="Z34" s="67"/>
    </row>
    <row r="35" customFormat="false" ht="24" hidden="true" customHeight="true" outlineLevel="0" collapsed="false"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Q35" s="65"/>
      <c r="R35" s="65"/>
      <c r="S35" s="65"/>
      <c r="T35" s="65"/>
      <c r="U35" s="65"/>
      <c r="V35" s="65"/>
      <c r="W35" s="65"/>
      <c r="X35" s="65"/>
      <c r="Y35" s="65"/>
      <c r="Z35" s="67"/>
    </row>
    <row r="36" customFormat="false" ht="24.75" hidden="false" customHeight="true" outlineLevel="0" collapsed="false">
      <c r="Q36" s="65"/>
      <c r="R36" s="65"/>
      <c r="S36" s="65"/>
      <c r="T36" s="65"/>
      <c r="U36" s="65"/>
      <c r="V36" s="65"/>
      <c r="W36" s="65"/>
      <c r="X36" s="65"/>
      <c r="Y36" s="65"/>
      <c r="Z36" s="67"/>
    </row>
    <row r="37" customFormat="false" ht="24.75" hidden="false" customHeight="true" outlineLevel="0" collapsed="false">
      <c r="Q37" s="65"/>
      <c r="R37" s="65"/>
      <c r="S37" s="65"/>
      <c r="T37" s="65"/>
      <c r="U37" s="65"/>
      <c r="V37" s="65"/>
      <c r="W37" s="65"/>
      <c r="X37" s="65"/>
      <c r="Y37" s="65"/>
      <c r="Z37" s="67"/>
    </row>
    <row r="38" customFormat="false" ht="24.75" hidden="false" customHeight="true" outlineLevel="0" collapsed="false">
      <c r="Q38" s="65"/>
      <c r="R38" s="65"/>
      <c r="S38" s="65"/>
      <c r="T38" s="65"/>
      <c r="U38" s="65"/>
      <c r="V38" s="65"/>
      <c r="W38" s="65"/>
      <c r="X38" s="65"/>
      <c r="Y38" s="65"/>
      <c r="Z38" s="67"/>
    </row>
    <row r="39" customFormat="false" ht="24.75" hidden="false" customHeight="true" outlineLevel="0" collapsed="false">
      <c r="Q39" s="65"/>
      <c r="R39" s="65"/>
      <c r="S39" s="65"/>
      <c r="T39" s="65"/>
      <c r="U39" s="65"/>
      <c r="V39" s="65"/>
      <c r="W39" s="65"/>
      <c r="X39" s="65"/>
      <c r="Y39" s="65"/>
      <c r="Z39" s="67"/>
    </row>
    <row r="40" customFormat="false" ht="24.75" hidden="false" customHeight="true" outlineLevel="0" collapsed="false">
      <c r="Q40" s="65"/>
      <c r="R40" s="65"/>
      <c r="S40" s="65"/>
      <c r="T40" s="65"/>
      <c r="U40" s="65"/>
      <c r="V40" s="65"/>
      <c r="W40" s="65"/>
      <c r="X40" s="65"/>
      <c r="Y40" s="65"/>
    </row>
    <row r="41" customFormat="false" ht="24.75" hidden="false" customHeight="true" outlineLevel="0" collapsed="false">
      <c r="Q41" s="65"/>
      <c r="R41" s="65"/>
      <c r="S41" s="65"/>
      <c r="T41" s="65"/>
      <c r="U41" s="65"/>
      <c r="V41" s="65"/>
      <c r="W41" s="65"/>
      <c r="X41" s="65"/>
      <c r="Y41" s="65"/>
    </row>
    <row r="42" customFormat="false" ht="24.75" hidden="false" customHeight="true" outlineLevel="0" collapsed="false">
      <c r="Q42" s="65"/>
      <c r="R42" s="65"/>
      <c r="S42" s="65"/>
      <c r="T42" s="65"/>
      <c r="U42" s="65"/>
      <c r="V42" s="65"/>
      <c r="W42" s="65"/>
      <c r="X42" s="65"/>
      <c r="Y42" s="65"/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1">
    <mergeCell ref="B1:N1"/>
    <mergeCell ref="Q1:Y1"/>
    <mergeCell ref="C7:M7"/>
    <mergeCell ref="Q7:Y7"/>
    <mergeCell ref="C9:D9"/>
    <mergeCell ref="F9:G9"/>
    <mergeCell ref="C10:D10"/>
    <mergeCell ref="F10:G10"/>
    <mergeCell ref="C11:D11"/>
    <mergeCell ref="F11:G11"/>
    <mergeCell ref="D15:E15"/>
    <mergeCell ref="C22:I24"/>
    <mergeCell ref="J22:L22"/>
    <mergeCell ref="Q22:U24"/>
    <mergeCell ref="J23:K23"/>
    <mergeCell ref="J24:L24"/>
    <mergeCell ref="Q25:Y28"/>
    <mergeCell ref="C26:E26"/>
    <mergeCell ref="C27:E27"/>
    <mergeCell ref="Q29:Y42"/>
    <mergeCell ref="B30:N35"/>
  </mergeCells>
  <dataValidations count="3">
    <dataValidation allowBlank="true" errorStyle="stop" operator="between" showDropDown="false" showErrorMessage="true" showInputMessage="true" sqref="S16:S21" type="list">
      <formula1>Справочники!$A$1:$A$5</formula1>
      <formula2>0</formula2>
    </dataValidation>
    <dataValidation allowBlank="true" errorStyle="stop" operator="between" showDropDown="false" showErrorMessage="true" showInputMessage="true" sqref="V16:V21" type="list">
      <formula1>Справочники!$A$7:$A$9</formula1>
      <formula2>0</formula2>
    </dataValidation>
    <dataValidation allowBlank="true" errorStyle="stop" operator="between" showDropDown="false" showErrorMessage="true" showInputMessage="true" sqref="W16:W21" type="list">
      <formula1>Справочники!$A$12:$A$14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9.00390625" defaultRowHeight="12.75" customHeight="false" zeroHeight="false" outlineLevelRow="0" outlineLevelCol="0"/>
  <cols>
    <col collapsed="false" customWidth="false" hidden="false" outlineLevel="0" max="16384" min="1" style="67" width="9"/>
  </cols>
  <sheetData>
    <row r="1" customFormat="false" ht="15" hidden="false" customHeight="false" outlineLevel="0" collapsed="false">
      <c r="A1" s="1" t="s">
        <v>28</v>
      </c>
    </row>
    <row r="2" customFormat="false" ht="15" hidden="false" customHeight="false" outlineLevel="0" collapsed="false">
      <c r="A2" s="1" t="s">
        <v>52</v>
      </c>
    </row>
    <row r="3" customFormat="false" ht="15" hidden="false" customHeight="false" outlineLevel="0" collapsed="false">
      <c r="A3" s="1" t="s">
        <v>53</v>
      </c>
    </row>
    <row r="4" customFormat="false" ht="15" hidden="false" customHeight="false" outlineLevel="0" collapsed="false">
      <c r="A4" s="1" t="s">
        <v>54</v>
      </c>
    </row>
    <row r="5" customFormat="false" ht="15" hidden="false" customHeight="false" outlineLevel="0" collapsed="false">
      <c r="A5" s="1" t="s">
        <v>55</v>
      </c>
    </row>
    <row r="7" customFormat="false" ht="15" hidden="false" customHeight="false" outlineLevel="0" collapsed="false">
      <c r="A7" s="1" t="s">
        <v>56</v>
      </c>
    </row>
    <row r="8" customFormat="false" ht="44.25" hidden="false" customHeight="true" outlineLevel="0" collapsed="false">
      <c r="A8" s="68" t="s">
        <v>57</v>
      </c>
    </row>
    <row r="9" customFormat="false" ht="15" hidden="false" customHeight="false" outlineLevel="0" collapsed="false">
      <c r="A9" s="1" t="s">
        <v>29</v>
      </c>
    </row>
    <row r="12" customFormat="false" ht="12.75" hidden="false" customHeight="false" outlineLevel="0" collapsed="false">
      <c r="A12" s="67" t="s">
        <v>58</v>
      </c>
    </row>
    <row r="13" customFormat="false" ht="12.75" hidden="false" customHeight="false" outlineLevel="0" collapsed="false">
      <c r="A13" s="67" t="s">
        <v>59</v>
      </c>
    </row>
    <row r="14" customFormat="false" ht="12.75" hidden="false" customHeight="false" outlineLevel="0" collapsed="false">
      <c r="A14" s="67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2023-05-26T08:17:29Z</dcterms:created>
  <dc:creator>Владимир Щербаков</dc:creator>
  <dc:description/>
  <dc:language>ru-RU</dc:language>
  <cp:lastModifiedBy/>
  <cp:lastPrinted>2025-02-11T11:26:17Z</cp:lastPrinted>
  <dcterms:modified xsi:type="dcterms:W3CDTF">2026-09-16T10:31:48Z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