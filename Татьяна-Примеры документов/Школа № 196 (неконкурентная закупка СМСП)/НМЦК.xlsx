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52511"/>
</workbook>
</file>

<file path=xl/calcChain.xml><?xml version="1.0" encoding="utf-8"?>
<calcChain xmlns="http://schemas.openxmlformats.org/spreadsheetml/2006/main">
  <c r="L7" i="1" l="1"/>
  <c r="L4" i="1"/>
  <c r="L5" i="1"/>
  <c r="L6" i="1"/>
  <c r="K4" i="1"/>
  <c r="K5" i="1"/>
  <c r="K6" i="1"/>
  <c r="L3" i="1"/>
  <c r="K3" i="1"/>
  <c r="J7" i="1"/>
  <c r="J4" i="1"/>
  <c r="J5" i="1"/>
  <c r="J6" i="1"/>
  <c r="J3" i="1"/>
  <c r="H7" i="1"/>
  <c r="H4" i="1"/>
  <c r="H5" i="1"/>
  <c r="H6" i="1"/>
  <c r="H3" i="1"/>
  <c r="F7" i="1"/>
  <c r="F4" i="1"/>
  <c r="F5" i="1"/>
  <c r="F6" i="1"/>
  <c r="F3" i="1"/>
</calcChain>
</file>

<file path=xl/sharedStrings.xml><?xml version="1.0" encoding="utf-8"?>
<sst xmlns="http://schemas.openxmlformats.org/spreadsheetml/2006/main" count="25" uniqueCount="16">
  <si>
    <t>№ п/п</t>
  </si>
  <si>
    <t>ед.изм</t>
  </si>
  <si>
    <t>кол-во</t>
  </si>
  <si>
    <t>Цена</t>
  </si>
  <si>
    <t>Сумма</t>
  </si>
  <si>
    <t>Поставщик 1</t>
  </si>
  <si>
    <t>Поставщик 2</t>
  </si>
  <si>
    <t>Поставщик 3</t>
  </si>
  <si>
    <t>НМЦК</t>
  </si>
  <si>
    <t>Наименование товара</t>
  </si>
  <si>
    <t>МФУ</t>
  </si>
  <si>
    <t>Компьютер в комплекте, тип 3</t>
  </si>
  <si>
    <t>Компьютер в комплекте, тип 1</t>
  </si>
  <si>
    <t>Компьютер в комплекте, тип 2</t>
  </si>
  <si>
    <t>ИТОГО</t>
  </si>
  <si>
    <t>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</si>
</sst>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4" fontId="0" fillId="0" borderId="1" xfId="0" applyNumberFormat="1" applyBorder="1"/>
    <xf numFmtId="2" fontId="0" fillId="0" borderId="1" xfId="0" applyNumberFormat="1" applyBorder="1"/>
    <xf numFmtId="0" fontId="0" fillId="0" borderId="1" xfId="0" applyFill="1" applyBorder="1" applyAlignment="1"/>
    <xf numFmtId="0" fontId="0" fillId="0" borderId="1" xfId="0" applyBorder="1" applyAlignment="1"/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workbookViewId="0">
      <selection activeCell="B4" sqref="B4"/>
    </sheetView>
  </sheetViews>
  <sheetFormatPr defaultRowHeight="15" x14ac:dyDescent="0.25"/>
  <cols>
    <col min="1" max="1" width="4.28515625" customWidth="1"/>
    <col min="2" max="2" width="30.85546875" customWidth="1"/>
    <col min="5" max="5" width="10.28515625" customWidth="1"/>
    <col min="6" max="6" width="11.85546875" customWidth="1"/>
    <col min="7" max="7" width="10.85546875" customWidth="1"/>
    <col min="8" max="8" width="11.7109375" customWidth="1"/>
    <col min="9" max="9" width="12.42578125" customWidth="1"/>
    <col min="10" max="10" width="13.28515625" customWidth="1"/>
    <col min="11" max="11" width="11.85546875" customWidth="1"/>
    <col min="12" max="12" width="13.42578125" customWidth="1"/>
  </cols>
  <sheetData>
    <row r="1" spans="1:12" x14ac:dyDescent="0.25">
      <c r="A1" s="6" t="s">
        <v>0</v>
      </c>
      <c r="B1" s="5" t="s">
        <v>9</v>
      </c>
      <c r="C1" s="5" t="s">
        <v>1</v>
      </c>
      <c r="D1" s="5" t="s">
        <v>2</v>
      </c>
      <c r="E1" s="5" t="s">
        <v>5</v>
      </c>
      <c r="F1" s="5"/>
      <c r="G1" s="5" t="s">
        <v>6</v>
      </c>
      <c r="H1" s="5"/>
      <c r="I1" s="5" t="s">
        <v>7</v>
      </c>
      <c r="J1" s="5"/>
      <c r="K1" s="4" t="s">
        <v>8</v>
      </c>
      <c r="L1" s="4"/>
    </row>
    <row r="2" spans="1:12" x14ac:dyDescent="0.25">
      <c r="A2" s="6"/>
      <c r="B2" s="5"/>
      <c r="C2" s="5"/>
      <c r="D2" s="5"/>
      <c r="E2" s="1" t="s">
        <v>3</v>
      </c>
      <c r="F2" s="1" t="s">
        <v>4</v>
      </c>
      <c r="G2" s="1" t="s">
        <v>3</v>
      </c>
      <c r="H2" s="1" t="s">
        <v>4</v>
      </c>
      <c r="I2" s="1" t="s">
        <v>3</v>
      </c>
      <c r="J2" s="1" t="s">
        <v>4</v>
      </c>
      <c r="K2" s="1" t="s">
        <v>3</v>
      </c>
      <c r="L2" s="1" t="s">
        <v>4</v>
      </c>
    </row>
    <row r="3" spans="1:12" x14ac:dyDescent="0.25">
      <c r="A3" s="1">
        <v>1</v>
      </c>
      <c r="B3" s="1" t="s">
        <v>10</v>
      </c>
      <c r="C3" s="1" t="s">
        <v>15</v>
      </c>
      <c r="D3" s="1">
        <v>4</v>
      </c>
      <c r="E3" s="2">
        <v>19899.5</v>
      </c>
      <c r="F3" s="2">
        <f>D3*E3</f>
        <v>79598</v>
      </c>
      <c r="G3" s="2">
        <v>20975</v>
      </c>
      <c r="H3" s="2">
        <f>D3*G3</f>
        <v>83900</v>
      </c>
      <c r="I3" s="2">
        <v>22490</v>
      </c>
      <c r="J3" s="2">
        <f>D3*I3</f>
        <v>89960</v>
      </c>
      <c r="K3" s="3">
        <f>(E3+G3+I3)/3</f>
        <v>21121.5</v>
      </c>
      <c r="L3" s="2">
        <f>D3*K3</f>
        <v>84486</v>
      </c>
    </row>
    <row r="4" spans="1:12" x14ac:dyDescent="0.25">
      <c r="A4" s="1">
        <v>2</v>
      </c>
      <c r="B4" s="1" t="s">
        <v>12</v>
      </c>
      <c r="C4" s="1" t="s">
        <v>15</v>
      </c>
      <c r="D4" s="1">
        <v>5</v>
      </c>
      <c r="E4" s="2">
        <v>66454</v>
      </c>
      <c r="F4" s="2">
        <f t="shared" ref="F4:F6" si="0">D4*E4</f>
        <v>332270</v>
      </c>
      <c r="G4" s="2">
        <v>70330</v>
      </c>
      <c r="H4" s="2">
        <f t="shared" ref="H4:H6" si="1">D4*G4</f>
        <v>351650</v>
      </c>
      <c r="I4" s="2">
        <v>75350</v>
      </c>
      <c r="J4" s="2">
        <f t="shared" ref="J4:J6" si="2">D4*I4</f>
        <v>376750</v>
      </c>
      <c r="K4" s="3">
        <f t="shared" ref="K4:K6" si="3">(E4+G4+I4)/3</f>
        <v>70711.333333333328</v>
      </c>
      <c r="L4" s="2">
        <f t="shared" ref="L4:L6" si="4">D4*K4</f>
        <v>353556.66666666663</v>
      </c>
    </row>
    <row r="5" spans="1:12" x14ac:dyDescent="0.25">
      <c r="A5" s="1">
        <v>3</v>
      </c>
      <c r="B5" s="1" t="s">
        <v>13</v>
      </c>
      <c r="C5" s="1" t="s">
        <v>15</v>
      </c>
      <c r="D5" s="1">
        <v>14</v>
      </c>
      <c r="E5" s="2">
        <v>62383</v>
      </c>
      <c r="F5" s="2">
        <f t="shared" si="0"/>
        <v>873362</v>
      </c>
      <c r="G5" s="2">
        <v>66280</v>
      </c>
      <c r="H5" s="2">
        <f t="shared" si="1"/>
        <v>927920</v>
      </c>
      <c r="I5" s="2">
        <v>70770</v>
      </c>
      <c r="J5" s="2">
        <f t="shared" si="2"/>
        <v>990780</v>
      </c>
      <c r="K5" s="3">
        <f t="shared" si="3"/>
        <v>66477.666666666672</v>
      </c>
      <c r="L5" s="2">
        <f t="shared" si="4"/>
        <v>930687.33333333337</v>
      </c>
    </row>
    <row r="6" spans="1:12" x14ac:dyDescent="0.25">
      <c r="A6" s="1">
        <v>4</v>
      </c>
      <c r="B6" s="1" t="s">
        <v>11</v>
      </c>
      <c r="C6" s="1" t="s">
        <v>15</v>
      </c>
      <c r="D6" s="1">
        <v>5</v>
      </c>
      <c r="E6" s="2">
        <v>62954</v>
      </c>
      <c r="F6" s="2">
        <f t="shared" si="0"/>
        <v>314770</v>
      </c>
      <c r="G6" s="2">
        <v>66800</v>
      </c>
      <c r="H6" s="2">
        <f t="shared" si="1"/>
        <v>334000</v>
      </c>
      <c r="I6" s="2">
        <v>71640</v>
      </c>
      <c r="J6" s="2">
        <f t="shared" si="2"/>
        <v>358200</v>
      </c>
      <c r="K6" s="3">
        <f t="shared" si="3"/>
        <v>67131.333333333328</v>
      </c>
      <c r="L6" s="2">
        <f t="shared" si="4"/>
        <v>335656.66666666663</v>
      </c>
    </row>
    <row r="7" spans="1:12" x14ac:dyDescent="0.25">
      <c r="A7" s="1">
        <v>5</v>
      </c>
      <c r="B7" s="1" t="s">
        <v>14</v>
      </c>
      <c r="C7" s="1"/>
      <c r="D7" s="1"/>
      <c r="E7" s="1"/>
      <c r="F7" s="2">
        <f>SUM(F3:F6)</f>
        <v>1600000</v>
      </c>
      <c r="G7" s="1"/>
      <c r="H7" s="2">
        <f>SUM(H3:H6)</f>
        <v>1697470</v>
      </c>
      <c r="I7" s="1"/>
      <c r="J7" s="2">
        <f>SUM(J3:J6)</f>
        <v>1815690</v>
      </c>
      <c r="K7" s="1"/>
      <c r="L7" s="2">
        <f>SUM(L3:L6)</f>
        <v>1704386.6666666665</v>
      </c>
    </row>
  </sheetData>
  <mergeCells count="8">
    <mergeCell ref="K1:L1"/>
    <mergeCell ref="B1:B2"/>
    <mergeCell ref="A1:A2"/>
    <mergeCell ref="C1:C2"/>
    <mergeCell ref="D1:D2"/>
    <mergeCell ref="E1:F1"/>
    <mergeCell ref="G1:H1"/>
    <mergeCell ref="I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2026-10-15T17:51:27Z</dcterms:modified>
</cp:coreProperties>
</file>