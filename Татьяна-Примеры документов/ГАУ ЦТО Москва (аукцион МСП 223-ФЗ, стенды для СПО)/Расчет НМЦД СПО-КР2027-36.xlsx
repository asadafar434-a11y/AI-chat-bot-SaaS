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71.42\отдел_закупок_tmp\2026\КР-СПО27-28\СПО-КР2027-36\"/>
    </mc:Choice>
  </mc:AlternateContent>
  <xr:revisionPtr revIDLastSave="0" documentId="13_ncr:1_{FA6C25A1-F84D-4A46-958D-13B046D3DA8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нмцк" sheetId="5" r:id="rId1"/>
    <sheet name="нмцк лампы" sheetId="6" state="hidden" r:id="rId2"/>
  </sheets>
  <definedNames>
    <definedName name="_xlnm._FilterDatabase" localSheetId="0" hidden="1">нмцк!$A$8:$K$20</definedName>
    <definedName name="sub_1601" localSheetId="0">нмцк!#REF!</definedName>
    <definedName name="sub_1602" localSheetId="0">нмцк!#REF!</definedName>
    <definedName name="sub_1603" localSheetId="0">нмцк!#REF!</definedName>
    <definedName name="sub_1699" localSheetId="0">нмцк!#REF!</definedName>
    <definedName name="_xlnm.Print_Area" localSheetId="0">нмцк!$A$1:$L$25</definedName>
  </definedNames>
  <calcPr calcId="191029"/>
</workbook>
</file>

<file path=xl/calcChain.xml><?xml version="1.0" encoding="utf-8"?>
<calcChain xmlns="http://schemas.openxmlformats.org/spreadsheetml/2006/main">
  <c r="L16" i="5" l="1"/>
  <c r="L20" i="5" s="1"/>
  <c r="L14" i="5"/>
  <c r="L15" i="5" s="1"/>
  <c r="L12" i="5"/>
  <c r="K15" i="5"/>
  <c r="I15" i="5"/>
  <c r="H15" i="5"/>
  <c r="G15" i="5"/>
  <c r="J14" i="5"/>
  <c r="J15" i="5" s="1"/>
  <c r="L17" i="5" l="1"/>
  <c r="L13" i="5"/>
  <c r="L19" i="5"/>
  <c r="L18" i="5" l="1"/>
  <c r="J16" i="5" l="1"/>
  <c r="J12" i="5"/>
  <c r="K17" i="5" l="1"/>
  <c r="I17" i="5"/>
  <c r="H17" i="5"/>
  <c r="G17" i="5"/>
  <c r="J17" i="5"/>
  <c r="K13" i="5" l="1"/>
  <c r="I13" i="5"/>
  <c r="H13" i="5"/>
  <c r="G13" i="5"/>
  <c r="J13" i="5" l="1"/>
  <c r="I11" i="6" l="1"/>
  <c r="I12" i="6"/>
</calcChain>
</file>

<file path=xl/sharedStrings.xml><?xml version="1.0" encoding="utf-8"?>
<sst xmlns="http://schemas.openxmlformats.org/spreadsheetml/2006/main" count="93" uniqueCount="56">
  <si>
    <t>Основные характеристики</t>
  </si>
  <si>
    <t>Единица измерения</t>
  </si>
  <si>
    <t>Источники информации</t>
  </si>
  <si>
    <t>Дата сбора данных</t>
  </si>
  <si>
    <t>Срок действия цен</t>
  </si>
  <si>
    <t>Наименование работы, услуги</t>
  </si>
  <si>
    <t>Предложение № 1</t>
  </si>
  <si>
    <t>Предложение № 2</t>
  </si>
  <si>
    <t>Предложение № 3</t>
  </si>
  <si>
    <t xml:space="preserve">Итого начальная (максимальная) цена договора </t>
  </si>
  <si>
    <t>Количество работ, услуг (месяцев)</t>
  </si>
  <si>
    <t>Определение начальной (максимальной) цены контракта (цены лота)</t>
  </si>
  <si>
    <t>Лот №___________</t>
  </si>
  <si>
    <t>Способ определения поставщика (подрядчика, исполнителя)</t>
  </si>
  <si>
    <t>аукцион в электронной форме</t>
  </si>
  <si>
    <t>Цена за единицу</t>
  </si>
  <si>
    <t xml:space="preserve">Стоимость работ, услуг </t>
  </si>
  <si>
    <t>Подпись</t>
  </si>
  <si>
    <t>Дата составления</t>
  </si>
  <si>
    <t xml:space="preserve">Ф.И.О. и должность лица, получившего </t>
  </si>
  <si>
    <t>указанные сведения</t>
  </si>
  <si>
    <t xml:space="preserve">Средняя цена (руб./кв.м.) </t>
  </si>
  <si>
    <t>шт</t>
  </si>
  <si>
    <t>инженер отдела эксплуатации зданий и содержания территорий Малашин А.В.</t>
  </si>
  <si>
    <t>Утилизация ртутьсодержащих ламп</t>
  </si>
  <si>
    <t xml:space="preserve"> ртутьсодержащие лампы</t>
  </si>
  <si>
    <t>Оказание услуг по вывозу и утилизации ртутьсодержащих ламп для нужд ГКОУ, подведомственных Департаменту образования города Москвы, в 2017 году (среди СМП и СОНО)</t>
  </si>
  <si>
    <t>Категории</t>
  </si>
  <si>
    <t>х</t>
  </si>
  <si>
    <t>№ п/п</t>
  </si>
  <si>
    <t>Способ определения поставщика (подрядчика, исполнителя):</t>
  </si>
  <si>
    <t>штука</t>
  </si>
  <si>
    <t>в соответствии с Техническим заданием</t>
  </si>
  <si>
    <t>Определение (расчет) начальной (максимальной) цены дорговора по закупке</t>
  </si>
  <si>
    <t>Приложение №2 к Протоколу определения начальной (максимальной) цены дорговора</t>
  </si>
  <si>
    <t>Начальная цена единицы товара (работы, услуги), руб.</t>
  </si>
  <si>
    <t xml:space="preserve">Сумма налога на добавленную стоимость (рублей), ставка налога на добавленную стоимость (процентов) </t>
  </si>
  <si>
    <t>Начальная (максимальная) цена, руб.</t>
  </si>
  <si>
    <t>Исполнитель 1</t>
  </si>
  <si>
    <t>Исполнитель 2</t>
  </si>
  <si>
    <t>Исполнитель 3</t>
  </si>
  <si>
    <t>Аукцион в электронной форме, участниками которого могут быть только субъекты малого и среднего предпринимательства (223-ФЗ)</t>
  </si>
  <si>
    <t>Количество единиц товара (работы, услуги), шт</t>
  </si>
  <si>
    <t>Наименование товара (работы, услуги)</t>
  </si>
  <si>
    <t>Цена  за единицу товара (работы, услуги) с учетом налога на добавленную стоимость</t>
  </si>
  <si>
    <t>Цена  за единицу товара (работы, услуги) без учета налога на добавленную стоимость</t>
  </si>
  <si>
    <t xml:space="preserve">Итого начальная (максимальная) цена договора (цена лота) (начальная цена единицы товара (работы, услуги), начальная сумма цен единиц товара (работы, услуги)) без учета налога на добавленную стоимость </t>
  </si>
  <si>
    <t xml:space="preserve">Итого начальная (максимальная) цена договора (цена лота), начальная цена единицы товара (работы, услуги), начальная сумма цен единиц товара (работы, услуги) с учетом налога на добавленную стоимость </t>
  </si>
  <si>
    <t>Средняя цена единицы товара (работы, услуги), руб.</t>
  </si>
  <si>
    <t>Цена единицы товара (работы, услуги), принятая к расчету по решению заказчика, руб.</t>
  </si>
  <si>
    <t>Работы по изготовлению информационного стенда (Стенд «Автоматизированное исследование внешних характеристик дизельного четырехцилиндрового двигателя»)</t>
  </si>
  <si>
    <t>Работы по изготовлению информационного стенда (Тормозной стенд)</t>
  </si>
  <si>
    <t>Работы по изготовлению информационного стенда (Учебный тренажер «Контроль электрического оборудования автомобильной техники»)</t>
  </si>
  <si>
    <t>Лот № 17267184</t>
  </si>
  <si>
    <t xml:space="preserve">Начальная (максимальная) цена договора, принятая заказчиком, составляет: 13 977 300 (тринадцать миллионов девятьсот семьдесят семь тысяч триста) рублей 00 копеек, включая НДС (22%) в сумме 2 520 496 (два миллиона пятьсот двадцать тысяч четыреста девяносто шесть) рублей 72 копейки. </t>
  </si>
  <si>
    <t>Изготовление товаров (стенд «Автоматизированное исследование внешних характеристик дизельного четырехцилиндрового двигателя» и др.) для оснащения учреждений СПО после капитального ремонта (СПО-КР2027-36)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</si>
</sst>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#,##0.00_р_."/>
    <numFmt numFmtId="166" formatCode="#,##0.00\ _₽"/>
  </numFmts>
  <fonts count="14" x14ac:knownFonts="1">
    <font>
      <sz val="12"/>
      <name val="Times New Roman"/>
      <charset val="204"/>
    </font>
    <font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1"/>
      <color theme="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1" applyFill="1" applyAlignment="1" applyProtection="1">
      <alignment vertical="center"/>
    </xf>
    <xf numFmtId="0" fontId="4" fillId="0" borderId="0" xfId="0" applyFont="1"/>
    <xf numFmtId="0" fontId="1" fillId="0" borderId="1" xfId="1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3" fontId="1" fillId="0" borderId="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7" fillId="0" borderId="0" xfId="0" applyFont="1" applyAlignment="1">
      <alignment horizontal="left" vertical="center" indent="1"/>
    </xf>
    <xf numFmtId="0" fontId="8" fillId="0" borderId="0" xfId="0" applyFont="1"/>
    <xf numFmtId="0" fontId="7" fillId="0" borderId="0" xfId="0" applyFont="1" applyAlignment="1">
      <alignment vertical="center"/>
    </xf>
    <xf numFmtId="0" fontId="7" fillId="0" borderId="0" xfId="0" applyFont="1"/>
    <xf numFmtId="0" fontId="1" fillId="0" borderId="0" xfId="0" applyFont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 applyAlignment="1">
      <alignment horizontal="center"/>
    </xf>
    <xf numFmtId="165" fontId="7" fillId="0" borderId="8" xfId="0" applyNumberFormat="1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0" fontId="3" fillId="3" borderId="0" xfId="0" applyFont="1" applyFill="1"/>
    <xf numFmtId="165" fontId="8" fillId="2" borderId="4" xfId="0" applyNumberFormat="1" applyFont="1" applyFill="1" applyBorder="1" applyAlignment="1">
      <alignment horizontal="center" vertical="center" wrapText="1"/>
    </xf>
    <xf numFmtId="4" fontId="8" fillId="2" borderId="4" xfId="0" applyNumberFormat="1" applyFont="1" applyFill="1" applyBorder="1" applyAlignment="1">
      <alignment horizontal="center" vertical="center"/>
    </xf>
    <xf numFmtId="166" fontId="8" fillId="2" borderId="12" xfId="0" applyNumberFormat="1" applyFont="1" applyFill="1" applyBorder="1" applyAlignment="1">
      <alignment horizontal="center" vertical="center" wrapText="1"/>
    </xf>
    <xf numFmtId="166" fontId="8" fillId="2" borderId="8" xfId="0" applyNumberFormat="1" applyFont="1" applyFill="1" applyBorder="1" applyAlignment="1">
      <alignment horizontal="center" vertical="center" wrapText="1"/>
    </xf>
    <xf numFmtId="165" fontId="8" fillId="2" borderId="8" xfId="0" applyNumberFormat="1" applyFont="1" applyFill="1" applyBorder="1" applyAlignment="1">
      <alignment horizontal="center" vertical="center" wrapText="1"/>
    </xf>
    <xf numFmtId="4" fontId="8" fillId="2" borderId="8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14" fontId="12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13" fillId="0" borderId="0" xfId="0" applyFont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view="pageBreakPreview" topLeftCell="A22" zoomScale="85" zoomScaleNormal="90" zoomScaleSheetLayoutView="85" workbookViewId="0">
      <selection activeCell="B24" sqref="B24:E24"/>
    </sheetView>
  </sheetViews>
  <sheetFormatPr defaultColWidth="9" defaultRowHeight="13.8" x14ac:dyDescent="0.25"/>
  <cols>
    <col min="1" max="1" width="9" style="1"/>
    <col min="2" max="2" width="26.8984375" style="1" customWidth="1"/>
    <col min="3" max="3" width="30" style="1" customWidth="1"/>
    <col min="4" max="4" width="22.09765625" style="1" customWidth="1"/>
    <col min="5" max="5" width="12.5" style="1" customWidth="1"/>
    <col min="6" max="6" width="20.296875" style="1" customWidth="1"/>
    <col min="7" max="7" width="22.69921875" style="2" customWidth="1"/>
    <col min="8" max="9" width="23" style="2" customWidth="1"/>
    <col min="10" max="10" width="23.8984375" style="2" customWidth="1"/>
    <col min="11" max="11" width="21.19921875" style="2" customWidth="1"/>
    <col min="12" max="12" width="25.59765625" style="1" customWidth="1"/>
    <col min="13" max="16384" width="9" style="1"/>
  </cols>
  <sheetData>
    <row r="1" spans="1:12" ht="33.6" customHeight="1" x14ac:dyDescent="0.25">
      <c r="H1" s="49"/>
      <c r="I1" s="49"/>
      <c r="J1" s="80" t="s">
        <v>34</v>
      </c>
      <c r="K1" s="80"/>
      <c r="L1" s="80"/>
    </row>
    <row r="2" spans="1:12" ht="16.5" customHeight="1" x14ac:dyDescent="0.25"/>
    <row r="3" spans="1:12" s="4" customFormat="1" ht="40.5" customHeight="1" x14ac:dyDescent="0.25">
      <c r="A3" s="81" t="s">
        <v>33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2" s="4" customFormat="1" ht="29.25" customHeight="1" x14ac:dyDescent="0.25">
      <c r="A4" s="81" t="s">
        <v>55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ht="15.6" x14ac:dyDescent="0.25"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36.6" customHeight="1" x14ac:dyDescent="0.25">
      <c r="A6" s="67" t="s">
        <v>53</v>
      </c>
      <c r="B6" s="67"/>
      <c r="C6" s="7"/>
      <c r="E6" s="25"/>
      <c r="F6" s="25"/>
      <c r="G6" s="25"/>
      <c r="H6" s="74" t="s">
        <v>30</v>
      </c>
      <c r="I6" s="74"/>
      <c r="J6" s="82" t="s">
        <v>41</v>
      </c>
      <c r="K6" s="82"/>
      <c r="L6" s="82"/>
    </row>
    <row r="7" spans="1:12" ht="16.2" thickBot="1" x14ac:dyDescent="0.3">
      <c r="C7" s="7"/>
      <c r="D7" s="7"/>
      <c r="E7" s="7"/>
      <c r="F7" s="7"/>
      <c r="G7" s="6"/>
      <c r="H7" s="6"/>
      <c r="I7" s="6"/>
      <c r="J7" s="28"/>
      <c r="K7" s="28"/>
      <c r="L7" s="25"/>
    </row>
    <row r="8" spans="1:12" ht="53.25" customHeight="1" thickBot="1" x14ac:dyDescent="0.3">
      <c r="A8" s="68" t="s">
        <v>29</v>
      </c>
      <c r="B8" s="68" t="s">
        <v>27</v>
      </c>
      <c r="C8" s="69" t="s">
        <v>43</v>
      </c>
      <c r="D8" s="69" t="s">
        <v>0</v>
      </c>
      <c r="E8" s="69" t="s">
        <v>1</v>
      </c>
      <c r="F8" s="69" t="s">
        <v>42</v>
      </c>
      <c r="G8" s="68" t="s">
        <v>35</v>
      </c>
      <c r="H8" s="68"/>
      <c r="I8" s="68"/>
      <c r="J8" s="75" t="s">
        <v>48</v>
      </c>
      <c r="K8" s="70" t="s">
        <v>49</v>
      </c>
      <c r="L8" s="70" t="s">
        <v>37</v>
      </c>
    </row>
    <row r="9" spans="1:12" ht="55.5" customHeight="1" thickBot="1" x14ac:dyDescent="0.3">
      <c r="A9" s="68"/>
      <c r="B9" s="68"/>
      <c r="C9" s="69"/>
      <c r="D9" s="69"/>
      <c r="E9" s="69"/>
      <c r="F9" s="69"/>
      <c r="G9" s="79" t="s">
        <v>2</v>
      </c>
      <c r="H9" s="79"/>
      <c r="I9" s="79"/>
      <c r="J9" s="76"/>
      <c r="K9" s="71"/>
      <c r="L9" s="71"/>
    </row>
    <row r="10" spans="1:12" ht="54" customHeight="1" thickBot="1" x14ac:dyDescent="0.3">
      <c r="A10" s="68"/>
      <c r="B10" s="68"/>
      <c r="C10" s="69"/>
      <c r="D10" s="69"/>
      <c r="E10" s="69"/>
      <c r="F10" s="69"/>
      <c r="G10" s="60" t="s">
        <v>38</v>
      </c>
      <c r="H10" s="60" t="s">
        <v>39</v>
      </c>
      <c r="I10" s="60" t="s">
        <v>40</v>
      </c>
      <c r="J10" s="77"/>
      <c r="K10" s="72"/>
      <c r="L10" s="72"/>
    </row>
    <row r="11" spans="1:12" ht="16.5" customHeight="1" thickBot="1" x14ac:dyDescent="0.3">
      <c r="A11" s="41">
        <v>1</v>
      </c>
      <c r="B11" s="41">
        <v>2</v>
      </c>
      <c r="C11" s="41">
        <v>3</v>
      </c>
      <c r="D11" s="41">
        <v>4</v>
      </c>
      <c r="E11" s="41">
        <v>5</v>
      </c>
      <c r="F11" s="47">
        <v>6</v>
      </c>
      <c r="G11" s="47">
        <v>7</v>
      </c>
      <c r="H11" s="47">
        <v>8</v>
      </c>
      <c r="I11" s="47">
        <v>9</v>
      </c>
      <c r="J11" s="50">
        <v>10</v>
      </c>
      <c r="K11" s="52">
        <v>11</v>
      </c>
      <c r="L11" s="52">
        <v>12</v>
      </c>
    </row>
    <row r="12" spans="1:12" ht="57.75" customHeight="1" thickBot="1" x14ac:dyDescent="0.3">
      <c r="A12" s="85">
        <v>1</v>
      </c>
      <c r="B12" s="42" t="s">
        <v>44</v>
      </c>
      <c r="C12" s="86" t="s">
        <v>50</v>
      </c>
      <c r="D12" s="73" t="s">
        <v>32</v>
      </c>
      <c r="E12" s="78" t="s">
        <v>31</v>
      </c>
      <c r="F12" s="63">
        <v>1</v>
      </c>
      <c r="G12" s="55">
        <v>6100000</v>
      </c>
      <c r="H12" s="55">
        <v>5480000</v>
      </c>
      <c r="I12" s="55">
        <v>6190000</v>
      </c>
      <c r="J12" s="56">
        <f>ROUND(AVERAGE(G12,H12,I12),2)</f>
        <v>5923333.3300000001</v>
      </c>
      <c r="K12" s="57">
        <v>5480000</v>
      </c>
      <c r="L12" s="57">
        <f>K12*F12</f>
        <v>5480000</v>
      </c>
    </row>
    <row r="13" spans="1:12" ht="55.8" thickBot="1" x14ac:dyDescent="0.3">
      <c r="A13" s="85"/>
      <c r="B13" s="42" t="s">
        <v>45</v>
      </c>
      <c r="C13" s="86"/>
      <c r="D13" s="73"/>
      <c r="E13" s="78"/>
      <c r="F13" s="64"/>
      <c r="G13" s="54">
        <f t="shared" ref="G13:J13" si="0">ROUND(G12/1.22,2)</f>
        <v>5000000</v>
      </c>
      <c r="H13" s="54">
        <f t="shared" si="0"/>
        <v>4491803.28</v>
      </c>
      <c r="I13" s="54">
        <f t="shared" si="0"/>
        <v>5073770.49</v>
      </c>
      <c r="J13" s="54">
        <f t="shared" si="0"/>
        <v>4855191.25</v>
      </c>
      <c r="K13" s="58">
        <f>ROUND(K12/1.22,2)</f>
        <v>4491803.28</v>
      </c>
      <c r="L13" s="58">
        <f>ROUND(L12/1.22,2)</f>
        <v>4491803.28</v>
      </c>
    </row>
    <row r="14" spans="1:12" ht="55.8" thickBot="1" x14ac:dyDescent="0.3">
      <c r="A14" s="61">
        <v>2</v>
      </c>
      <c r="B14" s="42" t="s">
        <v>44</v>
      </c>
      <c r="C14" s="63" t="s">
        <v>51</v>
      </c>
      <c r="D14" s="65" t="s">
        <v>32</v>
      </c>
      <c r="E14" s="63" t="s">
        <v>31</v>
      </c>
      <c r="F14" s="63">
        <v>3</v>
      </c>
      <c r="G14" s="55">
        <v>1800000</v>
      </c>
      <c r="H14" s="55">
        <v>1791000</v>
      </c>
      <c r="I14" s="55">
        <v>1845000</v>
      </c>
      <c r="J14" s="56">
        <f>ROUND(AVERAGE(G14,H14,I14),2)</f>
        <v>1812000</v>
      </c>
      <c r="K14" s="59">
        <v>1791000</v>
      </c>
      <c r="L14" s="59">
        <f>K14*F14</f>
        <v>5373000</v>
      </c>
    </row>
    <row r="15" spans="1:12" ht="55.8" thickBot="1" x14ac:dyDescent="0.3">
      <c r="A15" s="62"/>
      <c r="B15" s="42" t="s">
        <v>45</v>
      </c>
      <c r="C15" s="64"/>
      <c r="D15" s="66"/>
      <c r="E15" s="64"/>
      <c r="F15" s="64"/>
      <c r="G15" s="54">
        <f t="shared" ref="G15:K15" si="1">ROUND(G14/1.22,2)</f>
        <v>1475409.84</v>
      </c>
      <c r="H15" s="54">
        <f t="shared" si="1"/>
        <v>1468032.79</v>
      </c>
      <c r="I15" s="54">
        <f t="shared" si="1"/>
        <v>1512295.08</v>
      </c>
      <c r="J15" s="54">
        <f t="shared" si="1"/>
        <v>1485245.9</v>
      </c>
      <c r="K15" s="58">
        <f t="shared" si="1"/>
        <v>1468032.79</v>
      </c>
      <c r="L15" s="58">
        <f>ROUND(L14/1.22,2)</f>
        <v>4404098.3600000003</v>
      </c>
    </row>
    <row r="16" spans="1:12" ht="55.8" thickBot="1" x14ac:dyDescent="0.3">
      <c r="A16" s="61">
        <v>3</v>
      </c>
      <c r="B16" s="42" t="s">
        <v>44</v>
      </c>
      <c r="C16" s="63" t="s">
        <v>52</v>
      </c>
      <c r="D16" s="65" t="s">
        <v>32</v>
      </c>
      <c r="E16" s="63" t="s">
        <v>31</v>
      </c>
      <c r="F16" s="63">
        <v>2</v>
      </c>
      <c r="G16" s="55">
        <v>1570000</v>
      </c>
      <c r="H16" s="55">
        <v>1562150</v>
      </c>
      <c r="I16" s="55">
        <v>1609250</v>
      </c>
      <c r="J16" s="56">
        <f>ROUND(AVERAGE(G16,H16,I16),2)</f>
        <v>1580466.67</v>
      </c>
      <c r="K16" s="59">
        <v>1562150</v>
      </c>
      <c r="L16" s="59">
        <f>K16*F16</f>
        <v>3124300</v>
      </c>
    </row>
    <row r="17" spans="1:12" ht="55.8" thickBot="1" x14ac:dyDescent="0.3">
      <c r="A17" s="62"/>
      <c r="B17" s="42" t="s">
        <v>45</v>
      </c>
      <c r="C17" s="64"/>
      <c r="D17" s="66"/>
      <c r="E17" s="64"/>
      <c r="F17" s="64"/>
      <c r="G17" s="54">
        <f t="shared" ref="G17:K17" si="2">ROUND(G16/1.22,2)</f>
        <v>1286885.25</v>
      </c>
      <c r="H17" s="54">
        <f t="shared" si="2"/>
        <v>1280450.82</v>
      </c>
      <c r="I17" s="54">
        <f t="shared" si="2"/>
        <v>1319057.3799999999</v>
      </c>
      <c r="J17" s="54">
        <f t="shared" si="2"/>
        <v>1295464.48</v>
      </c>
      <c r="K17" s="58">
        <f t="shared" si="2"/>
        <v>1280450.82</v>
      </c>
      <c r="L17" s="58">
        <f>ROUND(L16/1.22,2)</f>
        <v>2560901.64</v>
      </c>
    </row>
    <row r="18" spans="1:12" ht="111" thickBot="1" x14ac:dyDescent="0.3">
      <c r="A18" s="43"/>
      <c r="B18" s="42" t="s">
        <v>46</v>
      </c>
      <c r="C18" s="44" t="s">
        <v>28</v>
      </c>
      <c r="D18" s="44" t="s">
        <v>28</v>
      </c>
      <c r="E18" s="44" t="s">
        <v>28</v>
      </c>
      <c r="F18" s="44" t="s">
        <v>28</v>
      </c>
      <c r="G18" s="48" t="s">
        <v>28</v>
      </c>
      <c r="H18" s="48" t="s">
        <v>28</v>
      </c>
      <c r="I18" s="48" t="s">
        <v>28</v>
      </c>
      <c r="J18" s="48" t="s">
        <v>28</v>
      </c>
      <c r="K18" s="48" t="s">
        <v>28</v>
      </c>
      <c r="L18" s="51">
        <f>L20-L19</f>
        <v>11456803.279999999</v>
      </c>
    </row>
    <row r="19" spans="1:12" ht="73.2" customHeight="1" thickBot="1" x14ac:dyDescent="0.3">
      <c r="A19" s="43"/>
      <c r="B19" s="42" t="s">
        <v>36</v>
      </c>
      <c r="C19" s="44" t="s">
        <v>28</v>
      </c>
      <c r="D19" s="44" t="s">
        <v>28</v>
      </c>
      <c r="E19" s="44" t="s">
        <v>28</v>
      </c>
      <c r="F19" s="44" t="s">
        <v>28</v>
      </c>
      <c r="G19" s="45" t="s">
        <v>28</v>
      </c>
      <c r="H19" s="45" t="s">
        <v>28</v>
      </c>
      <c r="I19" s="48" t="s">
        <v>28</v>
      </c>
      <c r="J19" s="48" t="s">
        <v>28</v>
      </c>
      <c r="K19" s="48" t="s">
        <v>28</v>
      </c>
      <c r="L19" s="51">
        <f>ROUND(L20/1.22*0.22,2)</f>
        <v>2520496.7200000002</v>
      </c>
    </row>
    <row r="20" spans="1:12" ht="131.4" customHeight="1" thickBot="1" x14ac:dyDescent="0.3">
      <c r="A20" s="43"/>
      <c r="B20" s="42" t="s">
        <v>47</v>
      </c>
      <c r="C20" s="46" t="s">
        <v>28</v>
      </c>
      <c r="D20" s="45" t="s">
        <v>28</v>
      </c>
      <c r="E20" s="45" t="s">
        <v>28</v>
      </c>
      <c r="F20" s="45" t="s">
        <v>28</v>
      </c>
      <c r="G20" s="45" t="s">
        <v>28</v>
      </c>
      <c r="H20" s="45" t="s">
        <v>28</v>
      </c>
      <c r="I20" s="48" t="s">
        <v>28</v>
      </c>
      <c r="J20" s="48" t="s">
        <v>28</v>
      </c>
      <c r="K20" s="48" t="s">
        <v>28</v>
      </c>
      <c r="L20" s="51">
        <f>SUM(L12,L14,L16)</f>
        <v>13977300</v>
      </c>
    </row>
    <row r="21" spans="1:12" ht="15.6" x14ac:dyDescent="0.25">
      <c r="C21" s="37"/>
      <c r="D21" s="38"/>
      <c r="E21" s="38"/>
      <c r="F21" s="38"/>
      <c r="G21" s="38"/>
      <c r="H21" s="38"/>
      <c r="I21" s="38"/>
      <c r="J21" s="38"/>
      <c r="K21" s="38"/>
    </row>
    <row r="22" spans="1:12" s="53" customFormat="1" ht="48.6" customHeight="1" x14ac:dyDescent="0.25">
      <c r="A22" s="87" t="s">
        <v>54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</row>
    <row r="23" spans="1:12" ht="15.6" x14ac:dyDescent="0.25">
      <c r="A23" s="39"/>
      <c r="B23" s="49"/>
      <c r="C23" s="49"/>
      <c r="E23" s="84"/>
      <c r="F23" s="84"/>
      <c r="G23" s="84"/>
      <c r="H23" s="83"/>
      <c r="I23" s="83"/>
      <c r="J23" s="40"/>
      <c r="K23" s="40"/>
    </row>
    <row r="24" spans="1:12" ht="17.399999999999999" x14ac:dyDescent="0.3">
      <c r="B24" s="103"/>
      <c r="C24" s="21"/>
      <c r="D24" s="22"/>
      <c r="E24" s="22"/>
      <c r="F24" s="22"/>
      <c r="G24" s="22"/>
      <c r="H24" s="22"/>
      <c r="I24" s="22"/>
      <c r="J24" s="22"/>
      <c r="K24" s="22"/>
    </row>
    <row r="25" spans="1:12" ht="18" x14ac:dyDescent="0.25">
      <c r="B25" s="102"/>
    </row>
    <row r="26" spans="1:12" ht="18" x14ac:dyDescent="0.25">
      <c r="B26" s="102"/>
    </row>
  </sheetData>
  <mergeCells count="35">
    <mergeCell ref="J1:L1"/>
    <mergeCell ref="A3:L3"/>
    <mergeCell ref="A4:L4"/>
    <mergeCell ref="J6:L6"/>
    <mergeCell ref="H23:I23"/>
    <mergeCell ref="E23:G23"/>
    <mergeCell ref="A12:A13"/>
    <mergeCell ref="C12:C13"/>
    <mergeCell ref="C16:C17"/>
    <mergeCell ref="D16:D17"/>
    <mergeCell ref="E16:E17"/>
    <mergeCell ref="F12:F13"/>
    <mergeCell ref="F16:F17"/>
    <mergeCell ref="A22:L22"/>
    <mergeCell ref="A16:A17"/>
    <mergeCell ref="A6:B6"/>
    <mergeCell ref="A8:A10"/>
    <mergeCell ref="F8:F10"/>
    <mergeCell ref="L8:L10"/>
    <mergeCell ref="D12:D13"/>
    <mergeCell ref="B8:B10"/>
    <mergeCell ref="H6:I6"/>
    <mergeCell ref="D8:D10"/>
    <mergeCell ref="J8:J10"/>
    <mergeCell ref="C8:C10"/>
    <mergeCell ref="K8:K10"/>
    <mergeCell ref="E12:E13"/>
    <mergeCell ref="G9:I9"/>
    <mergeCell ref="E8:E10"/>
    <mergeCell ref="G8:I8"/>
    <mergeCell ref="A14:A15"/>
    <mergeCell ref="C14:C15"/>
    <mergeCell ref="D14:D15"/>
    <mergeCell ref="E14:E15"/>
    <mergeCell ref="F14:F15"/>
  </mergeCells>
  <pageMargins left="0.23622047244094491" right="0.23622047244094491" top="0.74803149606299213" bottom="0.74803149606299213" header="0.31496062992125984" footer="0.31496062992125984"/>
  <pageSetup paperSize="9" scale="44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activeCell="C7" sqref="C7:C9"/>
    </sheetView>
  </sheetViews>
  <sheetFormatPr defaultColWidth="9" defaultRowHeight="13.8" x14ac:dyDescent="0.25"/>
  <cols>
    <col min="1" max="1" width="18.5" style="1" customWidth="1"/>
    <col min="2" max="2" width="23.59765625" style="1" customWidth="1"/>
    <col min="3" max="3" width="10.3984375" style="1" customWidth="1"/>
    <col min="4" max="4" width="17" style="2" customWidth="1"/>
    <col min="5" max="5" width="16.8984375" style="2" customWidth="1"/>
    <col min="6" max="6" width="17" style="2" customWidth="1"/>
    <col min="7" max="7" width="13.09765625" style="2" customWidth="1"/>
    <col min="8" max="8" width="12.59765625" style="1" customWidth="1"/>
    <col min="9" max="9" width="16.09765625" style="1" customWidth="1"/>
    <col min="10" max="16384" width="9" style="1"/>
  </cols>
  <sheetData>
    <row r="1" spans="1:11" s="4" customFormat="1" ht="15.6" x14ac:dyDescent="0.3">
      <c r="A1" s="95" t="s">
        <v>11</v>
      </c>
      <c r="B1" s="95"/>
      <c r="C1" s="95"/>
      <c r="D1" s="95"/>
      <c r="E1" s="95"/>
      <c r="F1" s="95"/>
      <c r="G1" s="95"/>
      <c r="H1" s="95"/>
      <c r="I1" s="95"/>
    </row>
    <row r="2" spans="1:11" s="4" customFormat="1" ht="27.75" customHeight="1" x14ac:dyDescent="0.25">
      <c r="A2" s="96" t="s">
        <v>26</v>
      </c>
      <c r="B2" s="96"/>
      <c r="C2" s="96"/>
      <c r="D2" s="96"/>
      <c r="E2" s="96"/>
      <c r="F2" s="96"/>
      <c r="G2" s="96"/>
      <c r="H2" s="96"/>
      <c r="I2" s="96"/>
    </row>
    <row r="3" spans="1:11" ht="21.75" customHeight="1" x14ac:dyDescent="0.25">
      <c r="A3" s="96"/>
      <c r="B3" s="96"/>
      <c r="C3" s="96"/>
      <c r="D3" s="96"/>
      <c r="E3" s="96"/>
      <c r="F3" s="96"/>
      <c r="G3" s="96"/>
      <c r="H3" s="96"/>
      <c r="I3" s="96"/>
    </row>
    <row r="4" spans="1:11" ht="15.6" x14ac:dyDescent="0.25">
      <c r="A4" s="6"/>
      <c r="B4" s="6"/>
      <c r="C4" s="6"/>
      <c r="D4" s="6"/>
      <c r="E4" s="6"/>
      <c r="F4" s="6"/>
      <c r="G4" s="6"/>
      <c r="H4" s="6"/>
      <c r="I4" s="6"/>
    </row>
    <row r="5" spans="1:11" ht="15.75" customHeight="1" x14ac:dyDescent="0.25">
      <c r="A5" s="7" t="s">
        <v>12</v>
      </c>
      <c r="B5" s="97" t="s">
        <v>13</v>
      </c>
      <c r="C5" s="97"/>
      <c r="D5" s="97"/>
      <c r="E5" s="98" t="s">
        <v>14</v>
      </c>
      <c r="F5" s="98"/>
      <c r="G5" s="1"/>
    </row>
    <row r="6" spans="1:11" ht="15.75" customHeight="1" x14ac:dyDescent="0.25">
      <c r="A6" s="7"/>
      <c r="B6" s="7"/>
      <c r="C6" s="7"/>
      <c r="D6" s="8"/>
      <c r="E6" s="8"/>
      <c r="F6" s="99"/>
      <c r="G6" s="100"/>
      <c r="H6" s="100"/>
      <c r="I6" s="100"/>
    </row>
    <row r="7" spans="1:11" ht="15.75" customHeight="1" x14ac:dyDescent="0.25">
      <c r="A7" s="92" t="s">
        <v>5</v>
      </c>
      <c r="B7" s="92" t="s">
        <v>0</v>
      </c>
      <c r="C7" s="92" t="s">
        <v>1</v>
      </c>
      <c r="D7" s="101" t="s">
        <v>15</v>
      </c>
      <c r="E7" s="101"/>
      <c r="F7" s="101"/>
      <c r="G7" s="101"/>
      <c r="H7" s="92" t="s">
        <v>10</v>
      </c>
      <c r="I7" s="92" t="s">
        <v>16</v>
      </c>
    </row>
    <row r="8" spans="1:11" ht="15.6" x14ac:dyDescent="0.25">
      <c r="A8" s="92"/>
      <c r="B8" s="92"/>
      <c r="C8" s="92"/>
      <c r="D8" s="88" t="s">
        <v>2</v>
      </c>
      <c r="E8" s="88"/>
      <c r="F8" s="88"/>
      <c r="G8" s="93" t="s">
        <v>21</v>
      </c>
      <c r="H8" s="92"/>
      <c r="I8" s="92"/>
    </row>
    <row r="9" spans="1:11" ht="15.6" x14ac:dyDescent="0.25">
      <c r="A9" s="92"/>
      <c r="B9" s="92"/>
      <c r="C9" s="92"/>
      <c r="D9" s="5" t="s">
        <v>6</v>
      </c>
      <c r="E9" s="5" t="s">
        <v>7</v>
      </c>
      <c r="F9" s="5" t="s">
        <v>8</v>
      </c>
      <c r="G9" s="94"/>
      <c r="H9" s="92"/>
      <c r="I9" s="92"/>
    </row>
    <row r="10" spans="1:11" ht="16.5" customHeight="1" thickBot="1" x14ac:dyDescent="0.3">
      <c r="A10" s="9">
        <v>1</v>
      </c>
      <c r="B10" s="9">
        <v>2</v>
      </c>
      <c r="C10" s="9">
        <v>3</v>
      </c>
      <c r="D10" s="9">
        <v>5</v>
      </c>
      <c r="E10" s="9">
        <v>6</v>
      </c>
      <c r="F10" s="9">
        <v>7</v>
      </c>
      <c r="G10" s="9">
        <v>8</v>
      </c>
      <c r="H10" s="9">
        <v>9</v>
      </c>
      <c r="I10" s="9">
        <v>10</v>
      </c>
    </row>
    <row r="11" spans="1:11" ht="44.25" customHeight="1" thickBot="1" x14ac:dyDescent="0.3">
      <c r="A11" s="34" t="s">
        <v>24</v>
      </c>
      <c r="B11" s="35" t="s">
        <v>25</v>
      </c>
      <c r="C11" s="35" t="s">
        <v>22</v>
      </c>
      <c r="D11" s="35">
        <v>14.3</v>
      </c>
      <c r="E11" s="35">
        <v>13</v>
      </c>
      <c r="F11" s="35">
        <v>20</v>
      </c>
      <c r="G11" s="35">
        <v>15.77</v>
      </c>
      <c r="H11" s="35">
        <v>8728</v>
      </c>
      <c r="I11" s="31">
        <f>G11*H11</f>
        <v>137640.56</v>
      </c>
    </row>
    <row r="12" spans="1:11" ht="46.5" customHeight="1" x14ac:dyDescent="0.25">
      <c r="A12" s="30" t="s">
        <v>9</v>
      </c>
      <c r="B12" s="88"/>
      <c r="C12" s="88"/>
      <c r="D12" s="88"/>
      <c r="E12" s="88"/>
      <c r="F12" s="88"/>
      <c r="G12" s="88"/>
      <c r="H12" s="88"/>
      <c r="I12" s="36">
        <f>SUM(I11:I11)</f>
        <v>137640.56</v>
      </c>
      <c r="K12" s="3"/>
    </row>
    <row r="13" spans="1:11" ht="18.600000000000001" customHeight="1" x14ac:dyDescent="0.25">
      <c r="A13" s="12" t="s">
        <v>3</v>
      </c>
      <c r="B13" s="13"/>
      <c r="C13" s="13"/>
      <c r="D13" s="32"/>
      <c r="E13" s="32"/>
      <c r="F13" s="32"/>
      <c r="G13" s="14"/>
      <c r="H13" s="10"/>
      <c r="I13" s="26"/>
      <c r="K13" s="3"/>
    </row>
    <row r="14" spans="1:11" ht="18.600000000000001" customHeight="1" x14ac:dyDescent="0.25">
      <c r="A14" s="12" t="s">
        <v>4</v>
      </c>
      <c r="B14" s="13"/>
      <c r="C14" s="13"/>
      <c r="D14" s="33"/>
      <c r="E14" s="33"/>
      <c r="F14" s="33"/>
      <c r="G14" s="11"/>
      <c r="H14" s="10"/>
      <c r="I14" s="10"/>
    </row>
    <row r="15" spans="1:11" ht="15.75" customHeight="1" x14ac:dyDescent="0.25">
      <c r="A15" s="15"/>
      <c r="B15" s="15"/>
      <c r="C15" s="15"/>
      <c r="D15" s="16"/>
      <c r="E15" s="16"/>
      <c r="F15" s="16"/>
      <c r="G15" s="16"/>
      <c r="H15" s="17"/>
      <c r="I15" s="18"/>
    </row>
    <row r="16" spans="1:11" ht="17.25" customHeight="1" x14ac:dyDescent="0.25">
      <c r="A16" s="89" t="s">
        <v>19</v>
      </c>
      <c r="B16" s="89"/>
      <c r="I16" s="25"/>
    </row>
    <row r="17" spans="1:9" ht="15.75" customHeight="1" x14ac:dyDescent="0.25">
      <c r="A17" s="7" t="s">
        <v>20</v>
      </c>
      <c r="B17" s="90" t="s">
        <v>23</v>
      </c>
      <c r="C17" s="90"/>
      <c r="D17" s="90"/>
      <c r="E17" s="90"/>
      <c r="F17" s="90"/>
      <c r="G17" s="90"/>
      <c r="H17" s="28" t="s">
        <v>17</v>
      </c>
      <c r="I17" s="27"/>
    </row>
    <row r="18" spans="1:9" ht="14.25" customHeight="1" x14ac:dyDescent="0.25">
      <c r="A18" s="7"/>
      <c r="B18" s="7"/>
      <c r="C18" s="6"/>
      <c r="D18" s="6"/>
      <c r="E18" s="6"/>
      <c r="F18" s="6"/>
      <c r="G18" s="6"/>
      <c r="H18" s="7"/>
      <c r="I18" s="7"/>
    </row>
    <row r="19" spans="1:9" ht="14.25" customHeight="1" x14ac:dyDescent="0.25">
      <c r="A19" s="7"/>
      <c r="B19" s="7"/>
      <c r="C19" s="7"/>
      <c r="D19" s="7"/>
      <c r="E19" s="28" t="s">
        <v>18</v>
      </c>
      <c r="F19" s="29"/>
      <c r="G19" s="7"/>
      <c r="H19" s="7"/>
      <c r="I19" s="7"/>
    </row>
    <row r="20" spans="1:9" ht="14.25" customHeight="1" x14ac:dyDescent="0.25">
      <c r="A20" s="7"/>
      <c r="B20" s="7"/>
      <c r="C20" s="7"/>
      <c r="D20" s="7"/>
      <c r="E20" s="28"/>
      <c r="F20" s="7"/>
      <c r="G20" s="7"/>
      <c r="H20" s="7"/>
      <c r="I20" s="7"/>
    </row>
    <row r="21" spans="1:9" ht="14.25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s="4" customFormat="1" ht="15.75" customHeight="1" x14ac:dyDescent="0.3">
      <c r="A22" s="21"/>
      <c r="B22" s="22"/>
      <c r="C22" s="22"/>
      <c r="D22" s="22"/>
      <c r="E22" s="22"/>
      <c r="F22" s="22"/>
      <c r="G22" s="24"/>
      <c r="H22" s="19"/>
      <c r="I22" s="19"/>
    </row>
    <row r="23" spans="1:9" s="4" customFormat="1" ht="15.6" x14ac:dyDescent="0.3">
      <c r="A23" s="23"/>
      <c r="B23" s="22"/>
      <c r="C23" s="22"/>
      <c r="D23" s="22"/>
      <c r="E23" s="22"/>
      <c r="F23" s="22"/>
      <c r="H23" s="20"/>
      <c r="I23" s="20"/>
    </row>
    <row r="24" spans="1:9" ht="15.6" x14ac:dyDescent="0.3">
      <c r="A24" s="23"/>
      <c r="B24" s="22"/>
      <c r="C24" s="22"/>
      <c r="D24" s="22"/>
      <c r="E24" s="22"/>
      <c r="F24" s="22"/>
      <c r="G24" s="24"/>
    </row>
    <row r="25" spans="1:9" ht="15.6" x14ac:dyDescent="0.3">
      <c r="A25" s="91"/>
      <c r="B25" s="91"/>
      <c r="C25" s="91"/>
      <c r="D25" s="22"/>
      <c r="E25" s="22"/>
      <c r="F25" s="22"/>
      <c r="G25" s="22"/>
    </row>
    <row r="26" spans="1:9" ht="15.6" x14ac:dyDescent="0.3">
      <c r="A26" s="91"/>
      <c r="B26" s="91"/>
      <c r="C26" s="91"/>
      <c r="D26" s="22"/>
      <c r="E26" s="22"/>
      <c r="F26" s="22"/>
      <c r="G26" s="24"/>
    </row>
  </sheetData>
  <mergeCells count="19">
    <mergeCell ref="I7:I9"/>
    <mergeCell ref="D8:F8"/>
    <mergeCell ref="G8:G9"/>
    <mergeCell ref="A1:I1"/>
    <mergeCell ref="A2:I2"/>
    <mergeCell ref="A3:I3"/>
    <mergeCell ref="B5:D5"/>
    <mergeCell ref="E5:F5"/>
    <mergeCell ref="F6:I6"/>
    <mergeCell ref="A7:A9"/>
    <mergeCell ref="B7:B9"/>
    <mergeCell ref="C7:C9"/>
    <mergeCell ref="D7:G7"/>
    <mergeCell ref="H7:H9"/>
    <mergeCell ref="B12:H12"/>
    <mergeCell ref="A16:B16"/>
    <mergeCell ref="B17:G17"/>
    <mergeCell ref="A25:C25"/>
    <mergeCell ref="A26:C26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нмцк</vt:lpstr>
      <vt:lpstr>нмцк лампы</vt:lpstr>
      <vt:lpstr>нмцк!Область_печати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Зульфия Сулейманова</dc:creator>
  <cp:lastModifiedBy>Анастасия Карамшина</cp:lastModifiedBy>
  <cp:lastPrinted>2026-09-29T08:26:33Z</cp:lastPrinted>
  <dcterms:created xsi:type="dcterms:W3CDTF">2012-03-22T05:50:40Z</dcterms:created>
  <dcterms:modified xsi:type="dcterms:W3CDTF">2026-09-29T08:26:44Z</dcterms:modified>
</cp:coreProperties>
</file>