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Комм. предл. (Структура НМЦ)" sheetId="1" state="visible" r:id="rId1"/>
    <sheet name="Справочники" sheetId="2" state="hidden" r:id="rId2"/>
  </sheets>
  <definedNames>
    <definedName name="_xlnm.Print_Area" localSheetId="0">'Комм. предл. (Структура НМЦ)'!$A$1:$AD$63</definedName>
  </definedNames>
  <calcPr iterateDelta="0.0001"/>
</workbook>
</file>

<file path=xl/sharedStrings.xml><?xml version="1.0" encoding="utf-8"?>
<sst xmlns="http://schemas.openxmlformats.org/spreadsheetml/2006/main" count="67" uniqueCount="67">
  <si>
    <t xml:space="preserve">Приложение 1 к Письму о подаче оферты</t>
  </si>
  <si>
    <t xml:space="preserve">от «___» __________ 202__ г. № _____</t>
  </si>
  <si>
    <t xml:space="preserve">КОММЕРЧЕСКОЕ ПРЕДЛОЖЕНИЕ</t>
  </si>
  <si>
    <t xml:space="preserve">СТРУКТУРА НМЦ</t>
  </si>
  <si>
    <t xml:space="preserve">Наименование Участника:</t>
  </si>
  <si>
    <t xml:space="preserve">ИНН Участника:</t>
  </si>
  <si>
    <t xml:space="preserve">Предмет договора:</t>
  </si>
  <si>
    <t xml:space="preserve">№
п/п</t>
  </si>
  <si>
    <t xml:space="preserve">Наименование предлагаемой продукции (товары, работы, услуги)</t>
  </si>
  <si>
    <t xml:space="preserve">Применение законодательства
о национальном режиме (ст. 3.1-4 Закона 223-ФЗ, ПП 1875)</t>
  </si>
  <si>
    <t xml:space="preserve">Ед. изм.</t>
  </si>
  <si>
    <r>
      <t xml:space="preserve">Количество </t>
    </r>
    <r>
      <rPr>
        <sz val="12"/>
        <rFont val="Times New Roman"/>
      </rPr>
      <t xml:space="preserve">(ориентировочный объем)</t>
    </r>
  </si>
  <si>
    <t xml:space="preserve">Страна происхождения предлагаемого товара /
страна регистрации лица выполняющего работу, оказывающего услугу</t>
  </si>
  <si>
    <r>
      <t xml:space="preserve">Наименование реестра и
номер реестровой записи
</t>
    </r>
    <r>
      <rPr>
        <sz val="12"/>
        <color theme="2" tint="-0.499984740745262"/>
        <rFont val="Times New Roman"/>
      </rPr>
      <t>(</t>
    </r>
    <r>
      <rPr>
        <i/>
        <sz val="12"/>
        <color theme="2" tint="-0.499984740745262"/>
        <rFont val="Times New Roman"/>
      </rPr>
      <t xml:space="preserve">указывается обязательно при "запрете или ограничении", а также при "минимальной обязательной доле закупок товаров российского происхождения")</t>
    </r>
  </si>
  <si>
    <t xml:space="preserve">Производитель продукции</t>
  </si>
  <si>
    <t xml:space="preserve">Применение понижающего коэффициента
(да / нет)</t>
  </si>
  <si>
    <r>
      <t xml:space="preserve">НМЦ единицы продукции </t>
    </r>
    <r>
      <rPr>
        <b/>
        <sz val="12"/>
        <color theme="4"/>
        <rFont val="Times New Roman"/>
      </rPr>
      <t>(Nед)</t>
    </r>
    <r>
      <rPr>
        <b/>
        <sz val="12"/>
        <color theme="1"/>
        <rFont val="Times New Roman"/>
      </rPr>
      <t xml:space="preserve">,
руб. без НДС</t>
    </r>
  </si>
  <si>
    <r>
      <t xml:space="preserve">Понижающий коэффициент </t>
    </r>
    <r>
      <rPr>
        <b/>
        <sz val="12"/>
        <color theme="4"/>
        <rFont val="Times New Roman"/>
      </rPr>
      <t>(К)</t>
    </r>
  </si>
  <si>
    <r>
      <t xml:space="preserve">Предлагаемая цена одной единицы продукции
(в т.ч. с учетом понижающего коэффициента: 
</t>
    </r>
    <r>
      <rPr>
        <b/>
        <sz val="12"/>
        <color rgb="FF0070C0"/>
        <rFont val="Times New Roman"/>
      </rPr>
      <t xml:space="preserve">P = Nед × K</t>
    </r>
    <r>
      <rPr>
        <b/>
        <sz val="12"/>
        <color theme="1"/>
        <rFont val="Times New Roman"/>
      </rPr>
      <t xml:space="preserve">),
руб. без НДС
</t>
    </r>
    <r>
      <rPr>
        <b/>
        <sz val="12"/>
        <color rgb="FF0070C0"/>
        <rFont val="Times New Roman"/>
      </rPr>
      <t xml:space="preserve"> </t>
    </r>
  </si>
  <si>
    <t xml:space="preserve">Итоговая стоимость позиции,
руб. без НДС</t>
  </si>
  <si>
    <t xml:space="preserve">Наименование продукции (товары / работы / услуги), являющейся предметом закупки</t>
  </si>
  <si>
    <t xml:space="preserve">Применение законодательств
о национальном режиме (ст. 3.1-4 Закона 223-ФЗ, ПП 1875)</t>
  </si>
  <si>
    <t xml:space="preserve">Код ОКПД 2
закупаемой продукции
(товара, работы, услуги)</t>
  </si>
  <si>
    <r>
      <t xml:space="preserve">Сведения, которые должны быть представлены Участником
в Коммерческом предложении
для подтверждения соответствия установленным требованиям в части применения законодательства
о национальном режиме 
</t>
    </r>
    <r>
      <rPr>
        <i/>
        <sz val="12"/>
        <color theme="2" tint="-0.499984740745262"/>
        <rFont val="Times New Roman"/>
      </rPr>
      <t xml:space="preserve">(номера столбцов, которые должны быть заполнены в Коммерческом предложении)</t>
    </r>
  </si>
  <si>
    <t>Примечание*</t>
  </si>
  <si>
    <t xml:space="preserve">НМЦ единицы продукции,
руб. без НДС</t>
  </si>
  <si>
    <t xml:space="preserve">НМЦ по позиции продукции,
руб. без НДС</t>
  </si>
  <si>
    <t>…</t>
  </si>
  <si>
    <t xml:space="preserve">Крыльчатка к дымососу Д18</t>
  </si>
  <si>
    <t xml:space="preserve">Национальный режим не предоставляется – преимущество</t>
  </si>
  <si>
    <t>25.30.12.114</t>
  </si>
  <si>
    <t>шт.</t>
  </si>
  <si>
    <t xml:space="preserve">столбец 6, столбец 7 (при наличии информации)</t>
  </si>
  <si>
    <t xml:space="preserve"> -</t>
  </si>
  <si>
    <t>да</t>
  </si>
  <si>
    <t xml:space="preserve">Стекло маслоуказательное к дымососу ДН-28х2 БГМ</t>
  </si>
  <si>
    <t xml:space="preserve">Стекло маслоуказательное к дымососу ДН-28х2 БГМ </t>
  </si>
  <si>
    <t xml:space="preserve">Улитка аэросмеси</t>
  </si>
  <si>
    <t xml:space="preserve">Рабочее колесо ВМ 40/730 (левое)</t>
  </si>
  <si>
    <t xml:space="preserve">Колесо рабочее ВМ-40/730 (правое)</t>
  </si>
  <si>
    <t xml:space="preserve">Корпус подшипника МВ</t>
  </si>
  <si>
    <t xml:space="preserve">Корпус опорного-упорного подшипника Д18х2</t>
  </si>
  <si>
    <t xml:space="preserve">Колесо рабочее ВГДН-15</t>
  </si>
  <si>
    <t xml:space="preserve">Рабочее колесо ВМ-160/850-1</t>
  </si>
  <si>
    <t xml:space="preserve">Колесо рабочее ДОД-28,5</t>
  </si>
  <si>
    <t xml:space="preserve">Направляющий аппарат ДОД-28,5</t>
  </si>
  <si>
    <r>
      <t xml:space="preserve">Понижающий коэффициент </t>
    </r>
    <r>
      <rPr>
        <b/>
        <sz val="12"/>
        <color theme="4"/>
        <rFont val="Times New Roman"/>
      </rPr>
      <t>(К)</t>
    </r>
    <r>
      <rPr>
        <b/>
        <sz val="12"/>
        <color theme="1"/>
        <rFont val="Times New Roman"/>
      </rPr>
      <t>:</t>
    </r>
  </si>
  <si>
    <t xml:space="preserve">Стоимость заявки (цена Договора) с учетом понижающего коэффициента:</t>
  </si>
  <si>
    <t xml:space="preserve">Итого без НДС :</t>
  </si>
  <si>
    <t>НМЦ:</t>
  </si>
  <si>
    <t xml:space="preserve">Итого без НДС:</t>
  </si>
  <si>
    <t xml:space="preserve">Кроме того, НДС:</t>
  </si>
  <si>
    <t xml:space="preserve">Итого с НДС:</t>
  </si>
  <si>
    <t xml:space="preserve">* Если в столбце 8 в отношении закупаемой продукции (с применяемой защитной мерой "Ограничение") указано "Товар отсутствует в реестре" – это означает, что закупаемый товар с характеристиками, соответствующими потребностям Заказчика, отсутствует в Реестре российской промышленной продукции. При заполнении формы Коммерческого предложения в отношении такого товара Участник должен указать наименование страны происхождения предлагаемого товара (без указания номера реестровой записи), за исключением случая, если Участником предлагается к поставке товар, который по состоянию на момент подачи заявки на участие в закупке включен в Реестр российской промышленной продукции (необходимо заполнить соответствующим образом столбцы 6 и 7 Коммерческого предложения).</t>
  </si>
  <si>
    <t xml:space="preserve">(должность подписавшего)</t>
  </si>
  <si>
    <t>(подпись)</t>
  </si>
  <si>
    <t>М.П.</t>
  </si>
  <si>
    <t xml:space="preserve">(И.О. Фамилия)</t>
  </si>
  <si>
    <r>
      <t xml:space="preserve">[Участник заполняет ячейки,  в том числе ячейки в столбцах 6 и 7 (в соответствии с требованиями столбца 7 Структуры НМЦ), 8, подсвеченные </t>
    </r>
    <r>
      <rPr>
        <i/>
        <sz val="12"/>
        <color theme="9"/>
        <rFont val="Times New Roman"/>
      </rPr>
      <t>светло-зеленым</t>
    </r>
    <r>
      <rPr>
        <i/>
        <sz val="12"/>
        <color theme="1"/>
        <rFont val="Times New Roman"/>
      </rPr>
      <t xml:space="preserve"> цветом.
Если Участником предлагается эквивалентная продукция, то в этом случае ее наименование в столбце 2 может быть скорректировано.
Страна происхождения предлагаемого товара / страна регистрации лица выполняющего работу, оказывающего услугу заполняется в соответствии с общероссийским классификатором стран мира.
В столбце 7 при необходимости указывается наименование соответствующего реестра (Реестр российской промышленной продукции; Реестр промышленных товаров государств – членов Евразийского экономического союза, за исключением Российской Федерации; Единый реестр российских программ для электронных вычислительных машин и баз данных; Единый реестр программ для электронных вычислительных машин и баз данных из государств – членов Евразийского экономического союза, за исключением Российской Федерации) и номер реестровой записи.
</t>
    </r>
    <r>
      <rPr>
        <i/>
        <u val="single"/>
        <sz val="12"/>
        <color theme="1"/>
        <rFont val="Times New Roman"/>
      </rPr>
      <t>Примечание</t>
    </r>
    <r>
      <rPr>
        <i/>
        <sz val="12"/>
        <color theme="1"/>
        <rFont val="Times New Roman"/>
      </rPr>
      <t xml:space="preserve">: если в столбце 8 Структуры НМЦ указано "Товар не в реестре" – это означает, что закупаемый товар с характеристиками, соответствующими потребностям Заказчика, отсутствует в реестре российской промышленной продукции. При заполнении формы Коммерческого предложения в отношении такого товара Участник указывает в столбце 6 наименование страны происхождения предлагаемого товара (без заполнения соответствующей ячейки столбца 7), за исключением случая, если Участником предлагается к поставке товар, который по состоянию на момент подачи заявки на участие в закупке включен в реестр российской промышленной продукции (необходимо заполнить соответствующим образом ячейки столбцов 6 и 7).
Указываемый Участником понижающий коэффициент </t>
    </r>
    <r>
      <rPr>
        <i/>
        <sz val="12"/>
        <color theme="4"/>
        <rFont val="Times New Roman"/>
      </rPr>
      <t>(К)</t>
    </r>
    <r>
      <rPr>
        <i/>
        <sz val="12"/>
        <color theme="1"/>
        <rFont val="Times New Roman"/>
      </rPr>
      <t xml:space="preserve"> должен быть в диапазоне более 0,00 и до 1,00 (1,00 - означает, что Участник не снижает НМЦ позиции).
Заказчик по ряду позиций в Структуре НМЦ может отметить позиции (значение "нет" в соответствующей ячейки столбца "Применение понижающего коэффициента"),
к которой не применяется понижающий коэффициент </t>
    </r>
    <r>
      <rPr>
        <i/>
        <sz val="12"/>
        <color theme="4"/>
        <rFont val="Times New Roman"/>
      </rPr>
      <t>(К)</t>
    </r>
    <r>
      <rPr>
        <i/>
        <sz val="12"/>
        <rFont val="Times New Roman"/>
      </rPr>
      <t xml:space="preserve"> (как пример: если цена на оборудование неизменна)</t>
    </r>
    <r>
      <rPr>
        <i/>
        <sz val="12"/>
        <color theme="1"/>
        <rFont val="Times New Roman"/>
      </rPr>
      <t xml:space="preserve">.
В столбце 12 при необходимости указать коррективную ставку НДС в процентах]
</t>
    </r>
    <r>
      <rPr>
        <b/>
        <i/>
        <u val="single"/>
        <sz val="14"/>
        <color theme="1"/>
        <rFont val="Times New Roman"/>
      </rPr>
      <t>ВНИМАНИЕ:</t>
    </r>
    <r>
      <rPr>
        <i/>
        <u val="single"/>
        <sz val="14"/>
        <color theme="1"/>
        <rFont val="Times New Roman"/>
      </rPr>
      <t xml:space="preserve"> указание Участником в Коммерческом предложении кодов ОКПД 2 не требуется. Предлагаемая к поставке продукция должна соответствовать кодам ОКПД 2, указанным в столбце 4 Структуры НМЦ (данные коды будут перенесены в заключаемый по результатам закупки договор).</t>
    </r>
  </si>
  <si>
    <t xml:space="preserve">Национальный режим предоставляется</t>
  </si>
  <si>
    <t xml:space="preserve">Национальный режим не предоставляется – запрет</t>
  </si>
  <si>
    <t xml:space="preserve">Национальный режим не предоставляется – ограничение</t>
  </si>
  <si>
    <t xml:space="preserve">Национальный режим не предоставляется – минимальная обязательная доля</t>
  </si>
  <si>
    <t xml:space="preserve">столбцы 6, 7</t>
  </si>
  <si>
    <t xml:space="preserve">не применимо</t>
  </si>
  <si>
    <t xml:space="preserve">Требования к подтверждающим документам установлены в Технических требованиях</t>
  </si>
  <si>
    <t xml:space="preserve">Товар отсутствует в реестре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</si>
</sst>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#,##0.00000"/>
  </numFmts>
  <fonts count="11">
    <font>
      <sz val="10.000000"/>
      <color theme="1"/>
      <name val="PT Mono"/>
    </font>
    <font>
      <sz val="12.000000"/>
      <color theme="1"/>
      <name val="Times New Roman"/>
    </font>
    <font>
      <i/>
      <sz val="12.000000"/>
      <color theme="1"/>
      <name val="Times New Roman"/>
    </font>
    <font>
      <b/>
      <sz val="12.000000"/>
      <color theme="1"/>
      <name val="Times New Roman"/>
    </font>
    <font>
      <b/>
      <sz val="12.000000"/>
      <name val="Times New Roman"/>
    </font>
    <font>
      <b/>
      <i/>
      <sz val="12.000000"/>
      <color theme="1"/>
      <name val="Times New Roman"/>
    </font>
    <font>
      <sz val="12.000000"/>
      <name val="Times New Roman"/>
    </font>
    <font>
      <i/>
      <sz val="10.000000"/>
      <color theme="1"/>
      <name val="Times New Roman"/>
    </font>
    <font>
      <sz val="12.000000"/>
      <color theme="0" tint="-0.14999847407452621"/>
      <name val="Times New Roman"/>
    </font>
    <font>
      <sz val="12.000000"/>
      <color theme="0" tint="-0.499984740745262"/>
      <name val="Times New Roman"/>
    </font>
    <font>
      <sz val="10.000000"/>
      <color theme="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2" tint="-0.099978637043366805"/>
        <bgColor theme="2" tint="-0.099978637043366805"/>
      </patternFill>
    </fill>
  </fills>
  <borders count="27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theme="1" tint="0.499984740745262"/>
      </bottom>
      <diagonal style="none"/>
    </border>
    <border>
      <left style="medium">
        <color theme="1" tint="0.499984740745262"/>
      </left>
      <right style="none"/>
      <top style="medium">
        <color theme="1" tint="0.499984740745262"/>
      </top>
      <bottom style="none"/>
      <diagonal style="none"/>
    </border>
    <border>
      <left style="none"/>
      <right style="none"/>
      <top style="medium">
        <color theme="1" tint="0.499984740745262"/>
      </top>
      <bottom style="none"/>
      <diagonal style="none"/>
    </border>
    <border>
      <left style="none"/>
      <right style="medium">
        <color theme="1" tint="0.499984740745262"/>
      </right>
      <top style="medium">
        <color theme="1" tint="0.499984740745262"/>
      </top>
      <bottom style="none"/>
      <diagonal style="none"/>
    </border>
    <border>
      <left style="medium">
        <color theme="1" tint="0.499984740745262"/>
      </left>
      <right style="none"/>
      <top style="none"/>
      <bottom style="none"/>
      <diagonal style="none"/>
    </border>
    <border>
      <left style="none"/>
      <right style="medium">
        <color theme="1" tint="0.499984740745262"/>
      </right>
      <top style="none"/>
      <bottom style="none"/>
      <diagonal style="none"/>
    </border>
    <border>
      <left style="none"/>
      <right style="none"/>
      <top style="none"/>
      <bottom style="thin">
        <color theme="1" tint="0.499984740745262"/>
      </bottom>
      <diagonal style="none"/>
    </border>
    <border>
      <left style="none"/>
      <right style="none"/>
      <top style="thin">
        <color theme="1" tint="0.499984740745262"/>
      </top>
      <bottom style="thin">
        <color theme="1" tint="0.499984740745262"/>
      </bottom>
      <diagonal style="none"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none"/>
      <diagonal style="none"/>
    </border>
    <border>
      <left style="thin">
        <color theme="1" tint="0.499984740745262"/>
      </left>
      <right style="none"/>
      <top style="thin">
        <color theme="1" tint="0.499984740745262"/>
      </top>
      <bottom style="thin">
        <color theme="1" tint="0.499984740745262"/>
      </bottom>
      <diagonal style="none"/>
    </border>
    <border>
      <left style="none"/>
      <right style="none"/>
      <top style="thin">
        <color theme="1" tint="0.499984740745262"/>
      </top>
      <bottom style="none"/>
      <diagonal style="none"/>
    </border>
    <border>
      <left style="none"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 style="none"/>
    </border>
    <border>
      <left style="thin">
        <color theme="1" tint="0.499984740745262"/>
      </left>
      <right style="none"/>
      <top style="thin">
        <color theme="1" tint="0.499984740745262"/>
      </top>
      <bottom style="none"/>
      <diagonal style="none"/>
    </border>
    <border>
      <left style="none"/>
      <right style="thin">
        <color theme="0" tint="-0.34998626667073579"/>
      </right>
      <top style="thin">
        <color theme="1" tint="0.499984740745262"/>
      </top>
      <bottom style="none"/>
      <diagonal style="none"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 style="none"/>
    </border>
    <border>
      <left style="thin">
        <color theme="0" tint="-0.34998626667073579"/>
      </left>
      <right style="none"/>
      <top style="thin">
        <color theme="1" tint="0.499984740745262"/>
      </top>
      <bottom style="none"/>
      <diagonal style="none"/>
    </border>
    <border>
      <left style="none"/>
      <right style="thin">
        <color theme="1" tint="0.499984740745262"/>
      </right>
      <top style="thin">
        <color theme="1" tint="0.499984740745262"/>
      </top>
      <bottom style="none"/>
      <diagonal style="none"/>
    </border>
    <border>
      <left style="thin">
        <color theme="1" tint="0.499984740745262"/>
      </left>
      <right style="none"/>
      <top style="none"/>
      <bottom style="none"/>
      <diagonal style="none"/>
    </border>
    <border>
      <left style="none"/>
      <right style="thin">
        <color theme="0" tint="-0.34998626667073579"/>
      </right>
      <top style="none"/>
      <bottom style="none"/>
      <diagonal style="none"/>
    </border>
    <border>
      <left style="thin">
        <color theme="1" tint="0.499984740745262"/>
      </left>
      <right style="none"/>
      <top style="none"/>
      <bottom style="thin">
        <color theme="1" tint="0.499984740745262"/>
      </bottom>
      <diagonal style="none"/>
    </border>
    <border>
      <left style="none"/>
      <right style="thin">
        <color theme="0" tint="-0.34998626667073579"/>
      </right>
      <top style="none"/>
      <bottom style="thin">
        <color theme="1" tint="0.499984740745262"/>
      </bottom>
      <diagonal style="none"/>
    </border>
    <border>
      <left style="thin">
        <color theme="0" tint="-0.34998626667073579"/>
      </left>
      <right style="none"/>
      <top style="thin">
        <color theme="1" tint="0.499984740745262"/>
      </top>
      <bottom style="thin">
        <color theme="1" tint="0.499984740745262"/>
      </bottom>
      <diagonal style="none"/>
    </border>
    <border>
      <left style="medium">
        <color theme="1" tint="0.499984740745262"/>
      </left>
      <right style="none"/>
      <top style="none"/>
      <bottom style="medium">
        <color theme="1" tint="0.499984740745262"/>
      </bottom>
      <diagonal style="none"/>
    </border>
    <border>
      <left style="none"/>
      <right style="medium">
        <color theme="1" tint="0.499984740745262"/>
      </right>
      <top style="none"/>
      <bottom style="medium">
        <color theme="1" tint="0.499984740745262"/>
      </bottom>
      <diagonal style="none"/>
    </border>
  </borders>
  <cellStyleXfs count="1">
    <xf fontId="0" fillId="0" borderId="0" numFmtId="0" applyNumberFormat="1" applyFont="1" applyFill="1" applyBorder="1"/>
  </cellStyleXfs>
  <cellXfs count="99">
    <xf fontId="0" fillId="0" borderId="0" numFmtId="0" xfId="0"/>
    <xf fontId="1" fillId="0" borderId="0" numFmtId="0" xfId="0" applyFont="1" applyAlignment="1">
      <alignment horizontal="left" vertical="top"/>
    </xf>
    <xf fontId="1" fillId="0" borderId="0" numFmtId="0" xfId="0" applyFont="1" applyAlignment="1">
      <alignment horizontal="left" vertical="top" wrapText="1"/>
    </xf>
    <xf fontId="2" fillId="2" borderId="0" numFmtId="0" xfId="0" applyFont="1" applyFill="1" applyAlignment="1" applyProtection="1">
      <alignment horizontal="left" vertical="top" wrapText="1"/>
      <protection locked="0"/>
    </xf>
    <xf fontId="1" fillId="0" borderId="1" numFmtId="0" xfId="0" applyFont="1" applyBorder="1" applyAlignment="1">
      <alignment vertical="top"/>
    </xf>
    <xf fontId="1" fillId="0" borderId="1" numFmtId="0" xfId="0" applyFont="1" applyBorder="1" applyAlignment="1">
      <alignment vertical="top" wrapText="1"/>
    </xf>
    <xf fontId="1" fillId="0" borderId="2" numFmtId="0" xfId="0" applyFont="1" applyBorder="1" applyAlignment="1">
      <alignment horizontal="left" vertical="top"/>
    </xf>
    <xf fontId="1" fillId="0" borderId="3" numFmtId="0" xfId="0" applyFont="1" applyBorder="1" applyAlignment="1">
      <alignment horizontal="left" vertical="top"/>
    </xf>
    <xf fontId="1" fillId="0" borderId="3" numFmtId="0" xfId="0" applyFont="1" applyBorder="1" applyAlignment="1">
      <alignment horizontal="left" vertical="top" wrapText="1"/>
    </xf>
    <xf fontId="1" fillId="0" borderId="4" numFmtId="0" xfId="0" applyFont="1" applyBorder="1" applyAlignment="1">
      <alignment horizontal="left" vertical="top"/>
    </xf>
    <xf fontId="2" fillId="2" borderId="0" numFmtId="0" xfId="0" applyFont="1" applyFill="1" applyAlignment="1" applyProtection="1">
      <alignment horizontal="center" vertical="top" wrapText="1"/>
      <protection locked="0"/>
    </xf>
    <xf fontId="1" fillId="0" borderId="5" numFmtId="0" xfId="0" applyFont="1" applyBorder="1" applyAlignment="1">
      <alignment horizontal="left" vertical="top"/>
    </xf>
    <xf fontId="1" fillId="0" borderId="0" numFmtId="0" xfId="0" applyFont="1" applyAlignment="1" applyProtection="1">
      <alignment vertical="top"/>
      <protection locked="0"/>
    </xf>
    <xf fontId="1" fillId="0" borderId="0" numFmtId="0" xfId="0" applyFont="1" applyAlignment="1" applyProtection="1">
      <alignment vertical="top" wrapText="1"/>
      <protection locked="0"/>
    </xf>
    <xf fontId="1" fillId="0" borderId="6" numFmtId="0" xfId="0" applyFont="1" applyBorder="1" applyAlignment="1">
      <alignment horizontal="left" vertical="top"/>
    </xf>
    <xf fontId="1" fillId="3" borderId="0" numFmtId="0" xfId="0" applyFont="1" applyFill="1" applyAlignment="1" applyProtection="1">
      <alignment vertical="top"/>
      <protection locked="0"/>
    </xf>
    <xf fontId="1" fillId="3" borderId="0" numFmtId="0" xfId="0" applyFont="1" applyFill="1" applyAlignment="1" applyProtection="1">
      <alignment vertical="top" wrapText="1"/>
      <protection locked="0"/>
    </xf>
    <xf fontId="1" fillId="0" borderId="0" numFmtId="0" xfId="0" applyFont="1" applyAlignment="1" applyProtection="1">
      <alignment horizontal="left" vertical="top"/>
      <protection locked="0"/>
    </xf>
    <xf fontId="3" fillId="0" borderId="0" numFmtId="0" xfId="0" applyFont="1" applyAlignment="1">
      <alignment horizontal="center" vertical="top"/>
    </xf>
    <xf fontId="3" fillId="0" borderId="0" numFmtId="0" xfId="0" applyFont="1" applyAlignment="1">
      <alignment horizontal="center" vertical="top" wrapText="1"/>
    </xf>
    <xf fontId="3" fillId="0" borderId="0" numFmtId="0" xfId="0" applyFont="1" applyAlignment="1" applyProtection="1">
      <alignment horizontal="center" vertical="top"/>
      <protection locked="0"/>
    </xf>
    <xf fontId="1" fillId="3" borderId="7" numFmtId="0" xfId="0" applyFont="1" applyFill="1" applyBorder="1" applyAlignment="1" applyProtection="1">
      <alignment horizontal="left" vertical="top"/>
      <protection locked="0"/>
    </xf>
    <xf fontId="1" fillId="3" borderId="8" numFmtId="0" xfId="0" applyFont="1" applyFill="1" applyBorder="1" applyAlignment="1" applyProtection="1">
      <alignment horizontal="left" vertical="top"/>
      <protection locked="0"/>
    </xf>
    <xf fontId="3" fillId="0" borderId="9" numFmtId="0" xfId="0" applyFont="1" applyBorder="1" applyAlignment="1">
      <alignment horizontal="center" vertical="top" wrapText="1"/>
    </xf>
    <xf fontId="4" fillId="0" borderId="9" numFmtId="0" xfId="0" applyFont="1" applyBorder="1" applyAlignment="1" applyProtection="1">
      <alignment horizontal="center" vertical="top" wrapText="1"/>
      <protection locked="0"/>
    </xf>
    <xf fontId="3" fillId="0" borderId="9" numFmtId="0" xfId="0" applyFont="1" applyBorder="1" applyAlignment="1" applyProtection="1">
      <alignment horizontal="center" vertical="top" wrapText="1"/>
      <protection locked="0"/>
    </xf>
    <xf fontId="3" fillId="4" borderId="9" numFmtId="0" xfId="0" applyFont="1" applyFill="1" applyBorder="1" applyAlignment="1" applyProtection="1">
      <alignment horizontal="center" vertical="top" wrapText="1"/>
      <protection locked="0"/>
    </xf>
    <xf fontId="5" fillId="0" borderId="9" numFmtId="0" xfId="0" applyFont="1" applyBorder="1" applyAlignment="1">
      <alignment horizontal="center" vertical="top" wrapText="1"/>
    </xf>
    <xf fontId="5" fillId="0" borderId="9" numFmtId="0" xfId="0" applyFont="1" applyBorder="1" applyAlignment="1" applyProtection="1">
      <alignment horizontal="center" vertical="top"/>
      <protection locked="0"/>
    </xf>
    <xf fontId="5" fillId="4" borderId="9" numFmtId="0" xfId="0" applyFont="1" applyFill="1" applyBorder="1" applyAlignment="1" applyProtection="1">
      <alignment horizontal="center" vertical="top"/>
      <protection locked="0"/>
    </xf>
    <xf fontId="1" fillId="0" borderId="9" numFmtId="0" xfId="0" applyFont="1" applyBorder="1" applyAlignment="1">
      <alignment horizontal="center" vertical="center"/>
    </xf>
    <xf fontId="1" fillId="3" borderId="9" numFmtId="0" xfId="0" applyFont="1" applyFill="1" applyBorder="1" applyAlignment="1">
      <alignment horizontal="left" vertical="center" wrapText="1"/>
    </xf>
    <xf fontId="1" fillId="0" borderId="9" numFmtId="0" xfId="0" applyFont="1" applyBorder="1" applyAlignment="1">
      <alignment horizontal="left" vertical="center"/>
    </xf>
    <xf fontId="1" fillId="0" borderId="9" numFmtId="3" xfId="0" applyNumberFormat="1" applyFont="1" applyBorder="1" applyAlignment="1">
      <alignment horizontal="center" vertical="center"/>
    </xf>
    <xf fontId="1" fillId="3" borderId="9" numFmtId="0" xfId="0" applyFont="1" applyFill="1" applyBorder="1" applyAlignment="1" applyProtection="1">
      <alignment horizontal="center" vertical="center"/>
      <protection locked="0"/>
    </xf>
    <xf fontId="1" fillId="0" borderId="9" numFmtId="4" xfId="0" applyNumberFormat="1" applyFont="1" applyBorder="1" applyAlignment="1">
      <alignment horizontal="right" vertical="center"/>
    </xf>
    <xf fontId="1" fillId="0" borderId="9" numFmtId="160" xfId="0" applyNumberFormat="1" applyFont="1" applyBorder="1" applyAlignment="1">
      <alignment horizontal="right" vertical="center"/>
    </xf>
    <xf fontId="1" fillId="0" borderId="9" numFmtId="0" xfId="0" applyFont="1" applyBorder="1" applyAlignment="1" applyProtection="1">
      <alignment horizontal="center" vertical="center"/>
      <protection locked="0"/>
    </xf>
    <xf fontId="6" fillId="0" borderId="10" numFmtId="0" xfId="0" applyFont="1" applyBorder="1" applyAlignment="1" applyProtection="1">
      <alignment horizontal="left" vertical="center" wrapText="1"/>
      <protection locked="0"/>
    </xf>
    <xf fontId="1" fillId="0" borderId="9" numFmtId="0" xfId="0" applyFont="1" applyBorder="1" applyAlignment="1" applyProtection="1">
      <alignment horizontal="left" vertical="center"/>
      <protection locked="0"/>
    </xf>
    <xf fontId="1" fillId="0" borderId="9" numFmtId="49" xfId="0" applyNumberFormat="1" applyFont="1" applyBorder="1" applyAlignment="1" applyProtection="1">
      <alignment horizontal="center" vertical="center"/>
      <protection locked="0"/>
    </xf>
    <xf fontId="1" fillId="0" borderId="0" numFmtId="3" xfId="0" applyNumberFormat="1" applyFont="1" applyAlignment="1" applyProtection="1">
      <alignment horizontal="center" vertical="center"/>
      <protection locked="0"/>
    </xf>
    <xf fontId="6" fillId="4" borderId="9" numFmtId="0" xfId="0" applyFont="1" applyFill="1" applyBorder="1" applyAlignment="1" applyProtection="1">
      <alignment horizontal="center" vertical="center" wrapText="1"/>
      <protection locked="0"/>
    </xf>
    <xf fontId="1" fillId="0" borderId="0" numFmtId="4" xfId="0" applyNumberFormat="1" applyFont="1" applyAlignment="1" applyProtection="1">
      <alignment horizontal="center" vertical="center"/>
      <protection locked="0"/>
    </xf>
    <xf fontId="1" fillId="0" borderId="9" numFmtId="4" xfId="0" applyNumberFormat="1" applyFont="1" applyBorder="1" applyAlignment="1" applyProtection="1">
      <alignment horizontal="right" vertical="center"/>
      <protection locked="0"/>
    </xf>
    <xf fontId="1" fillId="0" borderId="9" numFmtId="3" xfId="0" applyNumberFormat="1" applyFont="1" applyBorder="1" applyAlignment="1" applyProtection="1">
      <alignment horizontal="center" vertical="center"/>
      <protection locked="0"/>
    </xf>
    <xf fontId="1" fillId="0" borderId="9" numFmtId="4" xfId="0" applyNumberFormat="1" applyFont="1" applyBorder="1" applyAlignment="1" applyProtection="1">
      <alignment horizontal="center" vertical="center"/>
      <protection locked="0"/>
    </xf>
    <xf fontId="1" fillId="0" borderId="11" numFmtId="3" xfId="0" applyNumberFormat="1" applyFont="1" applyBorder="1" applyAlignment="1" applyProtection="1">
      <alignment horizontal="center" vertical="center"/>
      <protection locked="0"/>
    </xf>
    <xf fontId="3" fillId="0" borderId="12" numFmtId="0" xfId="0" applyFont="1" applyBorder="1" applyAlignment="1">
      <alignment horizontal="right" vertical="center"/>
    </xf>
    <xf fontId="3" fillId="0" borderId="8" numFmtId="0" xfId="0" applyFont="1" applyBorder="1" applyAlignment="1">
      <alignment horizontal="right" vertical="center" wrapText="1"/>
    </xf>
    <xf fontId="3" fillId="0" borderId="8" numFmtId="0" xfId="0" applyFont="1" applyBorder="1" applyAlignment="1">
      <alignment horizontal="right" vertical="center"/>
    </xf>
    <xf fontId="3" fillId="0" borderId="13" numFmtId="0" xfId="0" applyFont="1" applyBorder="1" applyAlignment="1">
      <alignment horizontal="right" vertical="center"/>
    </xf>
    <xf fontId="3" fillId="3" borderId="9" numFmtId="160" xfId="0" applyNumberFormat="1" applyFont="1" applyFill="1" applyBorder="1" applyAlignment="1" applyProtection="1">
      <alignment horizontal="right" vertical="center"/>
      <protection locked="0"/>
    </xf>
    <xf fontId="3" fillId="0" borderId="12" numFmtId="0" xfId="0" applyFont="1" applyBorder="1" applyAlignment="1">
      <alignment horizontal="left" vertical="center"/>
    </xf>
    <xf fontId="3" fillId="0" borderId="8" numFmtId="0" xfId="0" applyFont="1" applyBorder="1" applyAlignment="1">
      <alignment horizontal="left" vertical="center"/>
    </xf>
    <xf fontId="3" fillId="0" borderId="14" numFmtId="0" xfId="0" applyFont="1" applyBorder="1" applyAlignment="1">
      <alignment horizontal="left" vertical="center"/>
    </xf>
    <xf fontId="3" fillId="0" borderId="15" numFmtId="0" xfId="0" applyFont="1" applyBorder="1" applyAlignment="1">
      <alignment horizontal="right" vertical="center"/>
    </xf>
    <xf fontId="3" fillId="0" borderId="13" numFmtId="0" xfId="0" applyFont="1" applyBorder="1" applyAlignment="1">
      <alignment horizontal="right" vertical="center" wrapText="1"/>
    </xf>
    <xf fontId="3" fillId="0" borderId="16" numFmtId="0" xfId="0" applyFont="1" applyBorder="1" applyAlignment="1">
      <alignment horizontal="right" vertical="center"/>
    </xf>
    <xf fontId="3" fillId="0" borderId="17" numFmtId="0" xfId="0" applyFont="1" applyBorder="1" applyAlignment="1">
      <alignment horizontal="left" vertical="center"/>
    </xf>
    <xf fontId="3" fillId="0" borderId="14" numFmtId="4" xfId="0" applyNumberFormat="1" applyFont="1" applyBorder="1" applyAlignment="1">
      <alignment horizontal="right" vertical="center"/>
    </xf>
    <xf fontId="3" fillId="0" borderId="18" numFmtId="0" xfId="0" applyFont="1" applyBorder="1" applyAlignment="1">
      <alignment horizontal="left" vertical="center"/>
    </xf>
    <xf fontId="3" fillId="0" borderId="19" numFmtId="0" xfId="0" applyFont="1" applyBorder="1" applyAlignment="1">
      <alignment horizontal="left" vertical="center"/>
    </xf>
    <xf fontId="3" fillId="0" borderId="9" numFmtId="4" xfId="0" applyNumberFormat="1" applyFont="1" applyBorder="1" applyAlignment="1">
      <alignment horizontal="right" vertical="center"/>
    </xf>
    <xf fontId="3" fillId="0" borderId="20" numFmtId="0" xfId="0" applyFont="1" applyBorder="1" applyAlignment="1">
      <alignment horizontal="right" vertical="center"/>
    </xf>
    <xf fontId="3" fillId="0" borderId="0" numFmtId="0" xfId="0" applyFont="1" applyAlignment="1">
      <alignment horizontal="right" vertical="center" wrapText="1"/>
    </xf>
    <xf fontId="3" fillId="0" borderId="0" numFmtId="0" xfId="0" applyFont="1" applyAlignment="1">
      <alignment horizontal="right" vertical="center"/>
    </xf>
    <xf fontId="3" fillId="0" borderId="21" numFmtId="0" xfId="0" applyFont="1" applyBorder="1" applyAlignment="1">
      <alignment horizontal="right" vertical="center"/>
    </xf>
    <xf fontId="3" fillId="0" borderId="17" numFmtId="0" xfId="0" applyFont="1" applyBorder="1" applyAlignment="1">
      <alignment vertical="center"/>
    </xf>
    <xf fontId="3" fillId="3" borderId="17" numFmtId="9" xfId="0" applyNumberFormat="1" applyFont="1" applyFill="1" applyBorder="1" applyAlignment="1">
      <alignment horizontal="center" vertical="center"/>
    </xf>
    <xf fontId="3" fillId="0" borderId="9" numFmtId="0" xfId="0" applyFont="1" applyBorder="1" applyAlignment="1">
      <alignment horizontal="left" vertical="center"/>
    </xf>
    <xf fontId="3" fillId="0" borderId="9" numFmtId="9" xfId="0" applyNumberFormat="1" applyFont="1" applyBorder="1" applyAlignment="1" applyProtection="1">
      <alignment horizontal="center" vertical="center"/>
      <protection locked="0"/>
    </xf>
    <xf fontId="3" fillId="0" borderId="22" numFmtId="0" xfId="0" applyFont="1" applyBorder="1" applyAlignment="1">
      <alignment horizontal="right" vertical="center"/>
    </xf>
    <xf fontId="3" fillId="0" borderId="7" numFmtId="0" xfId="0" applyFont="1" applyBorder="1" applyAlignment="1">
      <alignment horizontal="right" vertical="center" wrapText="1"/>
    </xf>
    <xf fontId="3" fillId="0" borderId="7" numFmtId="0" xfId="0" applyFont="1" applyBorder="1" applyAlignment="1">
      <alignment horizontal="right" vertical="center"/>
    </xf>
    <xf fontId="3" fillId="0" borderId="23" numFmtId="0" xfId="0" applyFont="1" applyBorder="1" applyAlignment="1">
      <alignment horizontal="right" vertical="center"/>
    </xf>
    <xf fontId="3" fillId="0" borderId="24" numFmtId="0" xfId="0" applyFont="1" applyBorder="1" applyAlignment="1">
      <alignment horizontal="left" vertical="center"/>
    </xf>
    <xf fontId="1" fillId="0" borderId="13" numFmtId="0" xfId="0" applyFont="1" applyBorder="1" applyAlignment="1" applyProtection="1">
      <alignment horizontal="left" vertical="top" wrapText="1"/>
      <protection locked="0"/>
    </xf>
    <xf fontId="1" fillId="3" borderId="7" numFmtId="0" xfId="0" applyFont="1" applyFill="1" applyBorder="1" applyAlignment="1" applyProtection="1">
      <alignment horizontal="center" vertical="top"/>
      <protection locked="0"/>
    </xf>
    <xf fontId="1" fillId="3" borderId="7" numFmtId="0" xfId="0" applyFont="1" applyFill="1" applyBorder="1" applyAlignment="1" applyProtection="1">
      <alignment horizontal="center" vertical="top" wrapText="1"/>
      <protection locked="0"/>
    </xf>
    <xf fontId="1" fillId="2" borderId="0" numFmtId="0" xfId="0" applyFont="1" applyFill="1" applyAlignment="1" applyProtection="1">
      <alignment vertical="top"/>
      <protection locked="0"/>
    </xf>
    <xf fontId="1" fillId="0" borderId="0" numFmtId="0" xfId="0" applyFont="1" applyAlignment="1">
      <alignment horizontal="center" vertical="top"/>
    </xf>
    <xf fontId="1" fillId="3" borderId="7" numFmtId="0" xfId="0" applyFont="1" applyFill="1" applyBorder="1" applyAlignment="1" applyProtection="1">
      <alignment vertical="top"/>
      <protection locked="0"/>
    </xf>
    <xf fontId="1" fillId="0" borderId="0" numFmtId="0" xfId="0" applyFont="1" applyAlignment="1" applyProtection="1">
      <alignment horizontal="left" vertical="top" wrapText="1"/>
      <protection locked="0"/>
    </xf>
    <xf fontId="7" fillId="0" borderId="13" numFmtId="0" xfId="0" applyFont="1" applyBorder="1" applyAlignment="1">
      <alignment horizontal="center" vertical="top"/>
    </xf>
    <xf fontId="7" fillId="0" borderId="13" numFmtId="0" xfId="0" applyFont="1" applyBorder="1" applyAlignment="1">
      <alignment horizontal="center" vertical="top" wrapText="1"/>
    </xf>
    <xf fontId="7" fillId="0" borderId="0" numFmtId="0" xfId="0" applyFont="1" applyAlignment="1">
      <alignment vertical="top"/>
    </xf>
    <xf fontId="7" fillId="0" borderId="0" numFmtId="0" xfId="0" applyFont="1" applyAlignment="1">
      <alignment horizontal="center" vertical="top"/>
    </xf>
    <xf fontId="1" fillId="0" borderId="25" numFmtId="0" xfId="0" applyFont="1" applyBorder="1" applyAlignment="1">
      <alignment horizontal="left" vertical="top"/>
    </xf>
    <xf fontId="7" fillId="0" borderId="1" numFmtId="0" xfId="0" applyFont="1" applyBorder="1" applyAlignment="1">
      <alignment horizontal="center" vertical="top"/>
    </xf>
    <xf fontId="7" fillId="0" borderId="1" numFmtId="0" xfId="0" applyFont="1" applyBorder="1" applyAlignment="1">
      <alignment horizontal="center" vertical="top" wrapText="1"/>
    </xf>
    <xf fontId="1" fillId="0" borderId="1" numFmtId="0" xfId="0" applyFont="1" applyBorder="1" applyAlignment="1">
      <alignment horizontal="left" vertical="top"/>
    </xf>
    <xf fontId="1" fillId="0" borderId="26" numFmtId="0" xfId="0" applyFont="1" applyBorder="1" applyAlignment="1">
      <alignment horizontal="left" vertical="top"/>
    </xf>
    <xf fontId="2" fillId="5" borderId="0" numFmtId="0" xfId="0" applyFont="1" applyFill="1" applyAlignment="1">
      <alignment horizontal="left" vertical="top" wrapText="1"/>
    </xf>
    <xf fontId="8" fillId="0" borderId="0" numFmtId="0" xfId="0" applyFont="1" applyAlignment="1">
      <alignment horizontal="left" vertical="top"/>
    </xf>
    <xf fontId="9" fillId="0" borderId="0" numFmtId="0" xfId="0" applyFont="1" applyAlignment="1">
      <alignment horizontal="left" vertical="top"/>
    </xf>
    <xf fontId="9" fillId="0" borderId="0" numFmtId="0" xfId="0" applyFont="1" applyAlignment="1" applyProtection="1">
      <alignment horizontal="left" vertical="center"/>
      <protection locked="0"/>
    </xf>
    <xf fontId="10" fillId="0" borderId="0" numFmtId="0" xfId="0" applyFont="1"/>
    <xf fontId="10" fillId="0" borderId="0" numFmt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showRuler="1" view="pageBreakPreview" zoomScale="70" workbookViewId="0">
      <selection activeCell="T39" activeCellId="0" sqref="T39:AD63"/>
    </sheetView>
  </sheetViews>
  <sheetFormatPr defaultColWidth="18.5703125" defaultRowHeight="12.75"/>
  <cols>
    <col customWidth="1" min="1" max="2" style="1" width="4.5703125"/>
    <col customWidth="1" min="3" max="3" style="1" width="6.5703125"/>
    <col customWidth="1" min="4" max="4" style="2" width="28.5703125"/>
    <col customWidth="1" min="5" max="5" style="1" width="68.140625"/>
    <col customWidth="1" min="6" max="6" style="1" width="10.5703125"/>
    <col customWidth="1" min="7" max="7" style="1" width="13.140625"/>
    <col customWidth="1" min="8" max="8" style="1" width="24.28515625"/>
    <col customWidth="1" min="9" max="9" style="1" width="41"/>
    <col customWidth="1" min="10" max="10" style="1" width="29.140625"/>
    <col customWidth="1" min="11" max="11" style="1" width="18.5703125"/>
    <col min="12" max="15" style="1" width="18.5703125"/>
    <col customWidth="1" min="16" max="19" style="1" width="4.5703125"/>
    <col customWidth="1" min="20" max="20" style="1" width="6.5703125"/>
    <col customWidth="1" min="21" max="21" style="1" width="28.5703125"/>
    <col bestFit="1" customWidth="1" min="22" max="22" style="1" width="67.7109375"/>
    <col customWidth="1" min="23" max="23" style="1" width="28.5703125"/>
    <col customWidth="1" min="24" max="24" style="1" width="8.5703125"/>
    <col customWidth="1" min="25" max="25" style="1" width="13.42578125"/>
    <col customWidth="1" min="26" max="26" style="1" width="40.85546875"/>
    <col customWidth="1" min="27" max="27" style="1" width="24.140625"/>
    <col customWidth="1" min="28" max="28" style="1" width="18.5703125"/>
    <col customWidth="1" min="29" max="29" style="1" width="16.5703125"/>
    <col min="30" max="30" style="1" width="18.5703125"/>
    <col bestFit="1" customWidth="1" min="31" max="31" style="1" width="11"/>
    <col customWidth="1" min="32" max="32" style="1" width="4.5703125"/>
    <col min="33" max="16384" style="1" width="18.5703125"/>
  </cols>
  <sheetData>
    <row r="1" ht="35.100000000000001" customHeight="1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B2" s="4"/>
      <c r="C2" s="4"/>
      <c r="D2" s="5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>
      <c r="B3" s="6"/>
      <c r="C3" s="7"/>
      <c r="D3" s="8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9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</row>
    <row r="4" ht="15.75" customHeight="1">
      <c r="B4" s="11"/>
      <c r="C4" s="12" t="s">
        <v>0</v>
      </c>
      <c r="D4" s="13"/>
      <c r="E4" s="12"/>
      <c r="F4" s="12"/>
      <c r="G4" s="12"/>
      <c r="H4" s="12"/>
      <c r="I4" s="12"/>
      <c r="P4" s="14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</row>
    <row r="5" ht="15.75" customHeight="1">
      <c r="B5" s="11"/>
      <c r="C5" s="15" t="s">
        <v>1</v>
      </c>
      <c r="D5" s="16"/>
      <c r="E5" s="15"/>
      <c r="F5" s="15"/>
      <c r="G5" s="15"/>
      <c r="H5" s="12"/>
      <c r="I5" s="12"/>
      <c r="P5" s="14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ht="24" customHeight="1">
      <c r="B6" s="11"/>
      <c r="P6" s="14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</row>
    <row r="7" ht="15">
      <c r="B7" s="11"/>
      <c r="C7" s="18" t="s">
        <v>2</v>
      </c>
      <c r="D7" s="19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4"/>
      <c r="T7" s="20" t="s">
        <v>3</v>
      </c>
      <c r="U7" s="20"/>
      <c r="V7" s="20"/>
      <c r="W7" s="20"/>
      <c r="X7" s="20"/>
      <c r="Y7" s="20"/>
      <c r="Z7" s="20"/>
      <c r="AA7" s="20"/>
      <c r="AB7" s="20"/>
      <c r="AC7" s="20"/>
      <c r="AD7" s="20"/>
    </row>
    <row r="8" ht="24" customHeight="1">
      <c r="B8" s="11"/>
      <c r="P8" s="14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</row>
    <row r="9" ht="24" customHeight="1">
      <c r="B9" s="11"/>
      <c r="C9" s="1" t="s">
        <v>4</v>
      </c>
      <c r="D9" s="2"/>
      <c r="H9" s="21"/>
      <c r="I9" s="21"/>
      <c r="J9" s="21"/>
      <c r="K9" s="21"/>
      <c r="L9" s="21"/>
      <c r="M9" s="17"/>
      <c r="P9" s="14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</row>
    <row r="10" ht="24" customHeight="1">
      <c r="B10" s="11"/>
      <c r="C10" s="1" t="s">
        <v>5</v>
      </c>
      <c r="D10" s="2"/>
      <c r="H10" s="22"/>
      <c r="I10" s="22"/>
      <c r="J10" s="22"/>
      <c r="K10" s="22"/>
      <c r="L10" s="22"/>
      <c r="M10" s="17"/>
      <c r="P10" s="14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</row>
    <row r="11" ht="24" customHeight="1">
      <c r="B11" s="11"/>
      <c r="C11" s="1" t="s">
        <v>6</v>
      </c>
      <c r="D11" s="2"/>
      <c r="H11" s="22"/>
      <c r="I11" s="22"/>
      <c r="J11" s="22"/>
      <c r="K11" s="22"/>
      <c r="L11" s="22"/>
      <c r="M11" s="17"/>
      <c r="P11" s="14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</row>
    <row r="12">
      <c r="B12" s="11"/>
      <c r="P12" s="14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</row>
    <row r="13" ht="148.5" customHeight="1">
      <c r="B13" s="11"/>
      <c r="C13" s="23" t="s">
        <v>7</v>
      </c>
      <c r="D13" s="23" t="s">
        <v>8</v>
      </c>
      <c r="E13" s="23" t="s">
        <v>9</v>
      </c>
      <c r="F13" s="23" t="s">
        <v>10</v>
      </c>
      <c r="G13" s="24" t="s">
        <v>11</v>
      </c>
      <c r="H13" s="23" t="s">
        <v>12</v>
      </c>
      <c r="I13" s="23" t="s">
        <v>13</v>
      </c>
      <c r="J13" s="23" t="s">
        <v>14</v>
      </c>
      <c r="K13" s="23" t="s">
        <v>15</v>
      </c>
      <c r="L13" s="23" t="s">
        <v>16</v>
      </c>
      <c r="M13" s="23" t="s">
        <v>17</v>
      </c>
      <c r="N13" s="23" t="s">
        <v>18</v>
      </c>
      <c r="O13" s="23" t="s">
        <v>19</v>
      </c>
      <c r="P13" s="14"/>
      <c r="T13" s="23" t="s">
        <v>7</v>
      </c>
      <c r="U13" s="23" t="s">
        <v>20</v>
      </c>
      <c r="V13" s="23" t="s">
        <v>21</v>
      </c>
      <c r="W13" s="25" t="s">
        <v>22</v>
      </c>
      <c r="X13" s="23" t="s">
        <v>10</v>
      </c>
      <c r="Y13" s="24" t="s">
        <v>11</v>
      </c>
      <c r="Z13" s="26" t="s">
        <v>23</v>
      </c>
      <c r="AA13" s="26" t="s">
        <v>24</v>
      </c>
      <c r="AB13" s="23" t="s">
        <v>15</v>
      </c>
      <c r="AC13" s="23" t="s">
        <v>25</v>
      </c>
      <c r="AD13" s="23" t="s">
        <v>26</v>
      </c>
    </row>
    <row r="14" ht="18.75" customHeight="1">
      <c r="B14" s="11"/>
      <c r="C14" s="27">
        <v>1</v>
      </c>
      <c r="D14" s="27">
        <v>2</v>
      </c>
      <c r="E14" s="27">
        <v>3</v>
      </c>
      <c r="F14" s="27">
        <v>4</v>
      </c>
      <c r="G14" s="27">
        <v>5</v>
      </c>
      <c r="H14" s="27">
        <v>6</v>
      </c>
      <c r="I14" s="27">
        <v>7</v>
      </c>
      <c r="J14" s="27">
        <v>8</v>
      </c>
      <c r="K14" s="27">
        <v>9</v>
      </c>
      <c r="L14" s="27">
        <v>10</v>
      </c>
      <c r="M14" s="27">
        <v>11</v>
      </c>
      <c r="N14" s="27">
        <v>12</v>
      </c>
      <c r="O14" s="27">
        <v>13</v>
      </c>
      <c r="P14" s="14"/>
      <c r="T14" s="28">
        <v>1</v>
      </c>
      <c r="U14" s="28">
        <v>2</v>
      </c>
      <c r="V14" s="28">
        <v>3</v>
      </c>
      <c r="W14" s="28">
        <v>4</v>
      </c>
      <c r="X14" s="28">
        <v>5</v>
      </c>
      <c r="Y14" s="28">
        <v>6</v>
      </c>
      <c r="Z14" s="29">
        <v>7</v>
      </c>
      <c r="AA14" s="29">
        <v>8</v>
      </c>
      <c r="AB14" s="28">
        <v>9</v>
      </c>
      <c r="AC14" s="28">
        <v>10</v>
      </c>
      <c r="AD14" s="28">
        <v>11</v>
      </c>
    </row>
    <row r="15" ht="30">
      <c r="B15" s="11"/>
      <c r="C15" s="30">
        <f t="shared" ref="C15:D34" si="0">T15</f>
        <v>1</v>
      </c>
      <c r="D15" s="31" t="str">
        <f t="shared" ref="D15:D31" si="1">U15</f>
        <v xml:space="preserve">Крыльчатка к дымососу Д18</v>
      </c>
      <c r="E15" s="32" t="str">
        <f t="shared" ref="E15:E34" si="2">V15</f>
        <v xml:space="preserve">Национальный режим не предоставляется – преимущество</v>
      </c>
      <c r="F15" s="30" t="str">
        <f t="shared" ref="F15:F34" si="3">X15</f>
        <v>шт.</v>
      </c>
      <c r="G15" s="33">
        <f t="shared" ref="G15:G34" si="4">Y15</f>
        <v>1</v>
      </c>
      <c r="H15" s="34" t="s">
        <v>27</v>
      </c>
      <c r="I15" s="34" t="s">
        <v>27</v>
      </c>
      <c r="J15" s="34" t="s">
        <v>27</v>
      </c>
      <c r="K15" s="30" t="str">
        <f t="shared" ref="K15:K34" si="5">AB15</f>
        <v>да</v>
      </c>
      <c r="L15" s="35">
        <f t="shared" ref="L15:L34" si="6">AC15</f>
        <v>3201700.5499999998</v>
      </c>
      <c r="M15" s="36">
        <f t="shared" ref="M15:M34" si="7">IF(K15="да",$O$35,1)</f>
        <v>1</v>
      </c>
      <c r="N15" s="35">
        <f t="shared" ref="N15:N34" si="8">L15*M15</f>
        <v>3201700.5499999998</v>
      </c>
      <c r="O15" s="35">
        <f t="shared" ref="O15:O34" si="9">N15*G15</f>
        <v>3201700.5499999998</v>
      </c>
      <c r="P15" s="14"/>
      <c r="T15" s="37">
        <v>1</v>
      </c>
      <c r="U15" s="38" t="s">
        <v>28</v>
      </c>
      <c r="V15" s="39" t="s">
        <v>29</v>
      </c>
      <c r="W15" s="40" t="s">
        <v>30</v>
      </c>
      <c r="X15" s="37" t="s">
        <v>31</v>
      </c>
      <c r="Y15" s="41">
        <v>1</v>
      </c>
      <c r="Z15" s="42" t="s">
        <v>32</v>
      </c>
      <c r="AA15" s="42" t="s">
        <v>33</v>
      </c>
      <c r="AB15" s="37" t="s">
        <v>34</v>
      </c>
      <c r="AC15" s="43">
        <v>3201700.5499999998</v>
      </c>
      <c r="AD15" s="44">
        <f t="shared" ref="AD15:AD34" si="10">AC15*Y15</f>
        <v>3201700.5499999998</v>
      </c>
    </row>
    <row r="16" ht="30">
      <c r="B16" s="11"/>
      <c r="C16" s="30">
        <f t="shared" si="0"/>
        <v>2</v>
      </c>
      <c r="D16" s="31" t="str">
        <f t="shared" si="1"/>
        <v xml:space="preserve">Стекло маслоуказательное к дымососу ДН-28х2 БГМ</v>
      </c>
      <c r="E16" s="32" t="str">
        <f t="shared" si="2"/>
        <v xml:space="preserve">Национальный режим не предоставляется – преимущество</v>
      </c>
      <c r="F16" s="30" t="str">
        <f t="shared" si="3"/>
        <v>шт.</v>
      </c>
      <c r="G16" s="33">
        <f t="shared" si="4"/>
        <v>2</v>
      </c>
      <c r="H16" s="34" t="s">
        <v>27</v>
      </c>
      <c r="I16" s="34" t="s">
        <v>27</v>
      </c>
      <c r="J16" s="34" t="s">
        <v>27</v>
      </c>
      <c r="K16" s="30" t="str">
        <f t="shared" si="5"/>
        <v>да</v>
      </c>
      <c r="L16" s="35">
        <f t="shared" si="6"/>
        <v>24309.830000000002</v>
      </c>
      <c r="M16" s="36">
        <f t="shared" si="7"/>
        <v>1</v>
      </c>
      <c r="N16" s="35">
        <f t="shared" si="8"/>
        <v>24309.830000000002</v>
      </c>
      <c r="O16" s="35">
        <f t="shared" si="9"/>
        <v>48619.660000000003</v>
      </c>
      <c r="P16" s="14"/>
      <c r="T16" s="37">
        <v>2</v>
      </c>
      <c r="U16" s="38" t="s">
        <v>35</v>
      </c>
      <c r="V16" s="39" t="s">
        <v>29</v>
      </c>
      <c r="W16" s="40" t="s">
        <v>30</v>
      </c>
      <c r="X16" s="37" t="s">
        <v>31</v>
      </c>
      <c r="Y16" s="45">
        <v>2</v>
      </c>
      <c r="Z16" s="42" t="s">
        <v>32</v>
      </c>
      <c r="AA16" s="42" t="s">
        <v>33</v>
      </c>
      <c r="AB16" s="37" t="s">
        <v>34</v>
      </c>
      <c r="AC16" s="46">
        <v>24309.830000000002</v>
      </c>
      <c r="AD16" s="44">
        <f t="shared" si="10"/>
        <v>48619.660000000003</v>
      </c>
    </row>
    <row r="17" ht="30">
      <c r="B17" s="11"/>
      <c r="C17" s="30">
        <f t="shared" si="0"/>
        <v>3</v>
      </c>
      <c r="D17" s="31" t="str">
        <f t="shared" si="1"/>
        <v xml:space="preserve">Стекло маслоуказательное к дымососу ДН-28х2 БГМ </v>
      </c>
      <c r="E17" s="32" t="str">
        <f t="shared" si="2"/>
        <v xml:space="preserve">Национальный режим не предоставляется – преимущество</v>
      </c>
      <c r="F17" s="30" t="str">
        <f t="shared" si="3"/>
        <v>шт.</v>
      </c>
      <c r="G17" s="33">
        <f t="shared" si="4"/>
        <v>2</v>
      </c>
      <c r="H17" s="34" t="s">
        <v>27</v>
      </c>
      <c r="I17" s="34" t="s">
        <v>27</v>
      </c>
      <c r="J17" s="34" t="s">
        <v>27</v>
      </c>
      <c r="K17" s="30" t="str">
        <f t="shared" si="5"/>
        <v>да</v>
      </c>
      <c r="L17" s="35">
        <f t="shared" si="6"/>
        <v>24309.830000000002</v>
      </c>
      <c r="M17" s="36">
        <f t="shared" si="7"/>
        <v>1</v>
      </c>
      <c r="N17" s="35">
        <f t="shared" si="8"/>
        <v>24309.830000000002</v>
      </c>
      <c r="O17" s="35">
        <f t="shared" si="9"/>
        <v>48619.660000000003</v>
      </c>
      <c r="P17" s="14"/>
      <c r="T17" s="37">
        <v>3</v>
      </c>
      <c r="U17" s="38" t="s">
        <v>36</v>
      </c>
      <c r="V17" s="39" t="s">
        <v>29</v>
      </c>
      <c r="W17" s="40" t="s">
        <v>30</v>
      </c>
      <c r="X17" s="37" t="s">
        <v>31</v>
      </c>
      <c r="Y17" s="41">
        <v>2</v>
      </c>
      <c r="Z17" s="42" t="s">
        <v>32</v>
      </c>
      <c r="AA17" s="42" t="s">
        <v>33</v>
      </c>
      <c r="AB17" s="37" t="s">
        <v>34</v>
      </c>
      <c r="AC17" s="43">
        <v>24309.830000000002</v>
      </c>
      <c r="AD17" s="44">
        <f t="shared" si="10"/>
        <v>48619.660000000003</v>
      </c>
    </row>
    <row r="18" ht="28.899999999999999" customHeight="1">
      <c r="B18" s="11"/>
      <c r="C18" s="30">
        <f t="shared" si="0"/>
        <v>4</v>
      </c>
      <c r="D18" s="31" t="str">
        <f t="shared" si="1"/>
        <v xml:space="preserve">Улитка аэросмеси</v>
      </c>
      <c r="E18" s="32" t="str">
        <f t="shared" si="2"/>
        <v xml:space="preserve">Национальный режим не предоставляется – преимущество</v>
      </c>
      <c r="F18" s="30" t="str">
        <f t="shared" si="3"/>
        <v>шт.</v>
      </c>
      <c r="G18" s="33">
        <f t="shared" si="4"/>
        <v>2</v>
      </c>
      <c r="H18" s="34" t="s">
        <v>27</v>
      </c>
      <c r="I18" s="34" t="s">
        <v>27</v>
      </c>
      <c r="J18" s="34" t="s">
        <v>27</v>
      </c>
      <c r="K18" s="30" t="str">
        <f t="shared" si="5"/>
        <v>да</v>
      </c>
      <c r="L18" s="35">
        <f t="shared" si="6"/>
        <v>374518.58000000002</v>
      </c>
      <c r="M18" s="36">
        <f t="shared" si="7"/>
        <v>1</v>
      </c>
      <c r="N18" s="35">
        <f t="shared" si="8"/>
        <v>374518.58000000002</v>
      </c>
      <c r="O18" s="35">
        <f t="shared" si="9"/>
        <v>749037.16000000003</v>
      </c>
      <c r="P18" s="14"/>
      <c r="T18" s="37">
        <v>4</v>
      </c>
      <c r="U18" s="38" t="s">
        <v>37</v>
      </c>
      <c r="V18" s="39" t="s">
        <v>29</v>
      </c>
      <c r="W18" s="40" t="s">
        <v>30</v>
      </c>
      <c r="X18" s="37" t="s">
        <v>31</v>
      </c>
      <c r="Y18" s="45">
        <v>2</v>
      </c>
      <c r="Z18" s="42" t="s">
        <v>32</v>
      </c>
      <c r="AA18" s="42" t="s">
        <v>33</v>
      </c>
      <c r="AB18" s="37" t="s">
        <v>34</v>
      </c>
      <c r="AC18" s="46">
        <v>374518.58000000002</v>
      </c>
      <c r="AD18" s="44">
        <f t="shared" si="10"/>
        <v>749037.16000000003</v>
      </c>
    </row>
    <row r="19" ht="29.25" customHeight="1">
      <c r="B19" s="11"/>
      <c r="C19" s="30">
        <f t="shared" si="0"/>
        <v>5</v>
      </c>
      <c r="D19" s="31" t="str">
        <f t="shared" si="1"/>
        <v xml:space="preserve">Улитка аэросмеси</v>
      </c>
      <c r="E19" s="32" t="str">
        <f t="shared" si="2"/>
        <v xml:space="preserve">Национальный режим не предоставляется – преимущество</v>
      </c>
      <c r="F19" s="30" t="str">
        <f t="shared" si="3"/>
        <v>шт.</v>
      </c>
      <c r="G19" s="33">
        <f t="shared" si="4"/>
        <v>2</v>
      </c>
      <c r="H19" s="34" t="s">
        <v>27</v>
      </c>
      <c r="I19" s="34" t="s">
        <v>27</v>
      </c>
      <c r="J19" s="34" t="s">
        <v>27</v>
      </c>
      <c r="K19" s="30" t="str">
        <f t="shared" si="5"/>
        <v>да</v>
      </c>
      <c r="L19" s="35">
        <f t="shared" si="6"/>
        <v>374518.58000000002</v>
      </c>
      <c r="M19" s="36">
        <f t="shared" si="7"/>
        <v>1</v>
      </c>
      <c r="N19" s="35">
        <f t="shared" si="8"/>
        <v>374518.58000000002</v>
      </c>
      <c r="O19" s="35">
        <f t="shared" si="9"/>
        <v>749037.16000000003</v>
      </c>
      <c r="P19" s="14"/>
      <c r="T19" s="37">
        <v>5</v>
      </c>
      <c r="U19" s="38" t="s">
        <v>37</v>
      </c>
      <c r="V19" s="39" t="s">
        <v>29</v>
      </c>
      <c r="W19" s="40" t="s">
        <v>30</v>
      </c>
      <c r="X19" s="37" t="s">
        <v>31</v>
      </c>
      <c r="Y19" s="41">
        <v>2</v>
      </c>
      <c r="Z19" s="42" t="s">
        <v>32</v>
      </c>
      <c r="AA19" s="42" t="s">
        <v>33</v>
      </c>
      <c r="AB19" s="37" t="s">
        <v>34</v>
      </c>
      <c r="AC19" s="43">
        <v>374518.58000000002</v>
      </c>
      <c r="AD19" s="44">
        <f t="shared" si="10"/>
        <v>749037.16000000003</v>
      </c>
    </row>
    <row r="20" ht="30" customHeight="1">
      <c r="B20" s="11"/>
      <c r="C20" s="30">
        <f t="shared" si="0"/>
        <v>6</v>
      </c>
      <c r="D20" s="31" t="str">
        <f t="shared" si="1"/>
        <v xml:space="preserve">Улитка аэросмеси</v>
      </c>
      <c r="E20" s="32" t="str">
        <f t="shared" si="2"/>
        <v xml:space="preserve">Национальный режим не предоставляется – преимущество</v>
      </c>
      <c r="F20" s="30" t="str">
        <f t="shared" si="3"/>
        <v>шт.</v>
      </c>
      <c r="G20" s="33">
        <f t="shared" si="4"/>
        <v>2</v>
      </c>
      <c r="H20" s="34" t="s">
        <v>27</v>
      </c>
      <c r="I20" s="34" t="s">
        <v>27</v>
      </c>
      <c r="J20" s="34" t="s">
        <v>27</v>
      </c>
      <c r="K20" s="30" t="str">
        <f t="shared" si="5"/>
        <v>да</v>
      </c>
      <c r="L20" s="35">
        <f t="shared" si="6"/>
        <v>374518.58000000002</v>
      </c>
      <c r="M20" s="36">
        <f t="shared" si="7"/>
        <v>1</v>
      </c>
      <c r="N20" s="35">
        <f t="shared" si="8"/>
        <v>374518.58000000002</v>
      </c>
      <c r="O20" s="35">
        <f t="shared" si="9"/>
        <v>749037.16000000003</v>
      </c>
      <c r="P20" s="14"/>
      <c r="T20" s="37">
        <v>6</v>
      </c>
      <c r="U20" s="38" t="s">
        <v>37</v>
      </c>
      <c r="V20" s="39" t="s">
        <v>29</v>
      </c>
      <c r="W20" s="40" t="s">
        <v>30</v>
      </c>
      <c r="X20" s="37" t="s">
        <v>31</v>
      </c>
      <c r="Y20" s="45">
        <v>2</v>
      </c>
      <c r="Z20" s="42" t="s">
        <v>32</v>
      </c>
      <c r="AA20" s="42" t="s">
        <v>33</v>
      </c>
      <c r="AB20" s="37" t="s">
        <v>34</v>
      </c>
      <c r="AC20" s="46">
        <v>374518.58000000002</v>
      </c>
      <c r="AD20" s="44">
        <f t="shared" si="10"/>
        <v>749037.16000000003</v>
      </c>
    </row>
    <row r="21" ht="29.449999999999999" customHeight="1">
      <c r="B21" s="11"/>
      <c r="C21" s="30">
        <f t="shared" si="0"/>
        <v>7</v>
      </c>
      <c r="D21" s="31" t="str">
        <f t="shared" si="1"/>
        <v xml:space="preserve">Улитка аэросмеси</v>
      </c>
      <c r="E21" s="32" t="str">
        <f t="shared" si="2"/>
        <v xml:space="preserve">Национальный режим не предоставляется – преимущество</v>
      </c>
      <c r="F21" s="30" t="str">
        <f t="shared" si="3"/>
        <v>шт.</v>
      </c>
      <c r="G21" s="33">
        <f t="shared" si="4"/>
        <v>2</v>
      </c>
      <c r="H21" s="34" t="s">
        <v>27</v>
      </c>
      <c r="I21" s="34" t="s">
        <v>27</v>
      </c>
      <c r="J21" s="34" t="s">
        <v>27</v>
      </c>
      <c r="K21" s="30" t="str">
        <f t="shared" si="5"/>
        <v>да</v>
      </c>
      <c r="L21" s="35">
        <f t="shared" si="6"/>
        <v>374518.58000000002</v>
      </c>
      <c r="M21" s="36">
        <f t="shared" si="7"/>
        <v>1</v>
      </c>
      <c r="N21" s="35">
        <f t="shared" si="8"/>
        <v>374518.58000000002</v>
      </c>
      <c r="O21" s="35">
        <f t="shared" si="9"/>
        <v>749037.16000000003</v>
      </c>
      <c r="P21" s="14"/>
      <c r="T21" s="37">
        <v>7</v>
      </c>
      <c r="U21" s="38" t="s">
        <v>37</v>
      </c>
      <c r="V21" s="39" t="s">
        <v>29</v>
      </c>
      <c r="W21" s="40" t="s">
        <v>30</v>
      </c>
      <c r="X21" s="37" t="s">
        <v>31</v>
      </c>
      <c r="Y21" s="41">
        <v>2</v>
      </c>
      <c r="Z21" s="42" t="s">
        <v>32</v>
      </c>
      <c r="AA21" s="42" t="s">
        <v>33</v>
      </c>
      <c r="AB21" s="37" t="s">
        <v>34</v>
      </c>
      <c r="AC21" s="43">
        <v>374518.58000000002</v>
      </c>
      <c r="AD21" s="44">
        <f t="shared" si="10"/>
        <v>749037.16000000003</v>
      </c>
    </row>
    <row r="22" ht="32.450000000000003" customHeight="1">
      <c r="B22" s="11"/>
      <c r="C22" s="30">
        <f t="shared" si="0"/>
        <v>8</v>
      </c>
      <c r="D22" s="31" t="str">
        <f t="shared" si="1"/>
        <v xml:space="preserve">Улитка аэросмеси</v>
      </c>
      <c r="E22" s="32" t="str">
        <f t="shared" si="2"/>
        <v xml:space="preserve">Национальный режим не предоставляется – преимущество</v>
      </c>
      <c r="F22" s="30" t="str">
        <f t="shared" si="3"/>
        <v>шт.</v>
      </c>
      <c r="G22" s="33">
        <f t="shared" si="4"/>
        <v>2</v>
      </c>
      <c r="H22" s="34" t="s">
        <v>27</v>
      </c>
      <c r="I22" s="34" t="s">
        <v>27</v>
      </c>
      <c r="J22" s="34" t="s">
        <v>27</v>
      </c>
      <c r="K22" s="30" t="str">
        <f t="shared" si="5"/>
        <v>да</v>
      </c>
      <c r="L22" s="35">
        <f t="shared" si="6"/>
        <v>374518.58000000002</v>
      </c>
      <c r="M22" s="36">
        <f t="shared" si="7"/>
        <v>1</v>
      </c>
      <c r="N22" s="35">
        <f t="shared" si="8"/>
        <v>374518.58000000002</v>
      </c>
      <c r="O22" s="35">
        <f t="shared" si="9"/>
        <v>749037.16000000003</v>
      </c>
      <c r="P22" s="14"/>
      <c r="T22" s="37">
        <v>8</v>
      </c>
      <c r="U22" s="38" t="s">
        <v>37</v>
      </c>
      <c r="V22" s="39" t="s">
        <v>29</v>
      </c>
      <c r="W22" s="40" t="s">
        <v>30</v>
      </c>
      <c r="X22" s="37" t="s">
        <v>31</v>
      </c>
      <c r="Y22" s="45">
        <v>2</v>
      </c>
      <c r="Z22" s="42" t="s">
        <v>32</v>
      </c>
      <c r="AA22" s="42" t="s">
        <v>33</v>
      </c>
      <c r="AB22" s="37" t="s">
        <v>34</v>
      </c>
      <c r="AC22" s="46">
        <v>374518.58000000002</v>
      </c>
      <c r="AD22" s="44">
        <f t="shared" si="10"/>
        <v>749037.16000000003</v>
      </c>
    </row>
    <row r="23" ht="30">
      <c r="B23" s="11"/>
      <c r="C23" s="30">
        <f t="shared" si="0"/>
        <v>9</v>
      </c>
      <c r="D23" s="31" t="str">
        <f t="shared" si="1"/>
        <v xml:space="preserve">Улитка аэросмеси</v>
      </c>
      <c r="E23" s="32" t="str">
        <f t="shared" si="2"/>
        <v xml:space="preserve">Национальный режим не предоставляется – преимущество</v>
      </c>
      <c r="F23" s="30" t="str">
        <f t="shared" si="3"/>
        <v>шт.</v>
      </c>
      <c r="G23" s="33">
        <f t="shared" si="4"/>
        <v>2</v>
      </c>
      <c r="H23" s="34" t="s">
        <v>27</v>
      </c>
      <c r="I23" s="34" t="s">
        <v>27</v>
      </c>
      <c r="J23" s="34" t="s">
        <v>27</v>
      </c>
      <c r="K23" s="30" t="str">
        <f t="shared" si="5"/>
        <v>да</v>
      </c>
      <c r="L23" s="35">
        <f t="shared" si="6"/>
        <v>374518.58000000002</v>
      </c>
      <c r="M23" s="36">
        <f t="shared" si="7"/>
        <v>1</v>
      </c>
      <c r="N23" s="35">
        <f t="shared" si="8"/>
        <v>374518.58000000002</v>
      </c>
      <c r="O23" s="35">
        <f t="shared" si="9"/>
        <v>749037.16000000003</v>
      </c>
      <c r="P23" s="14"/>
      <c r="T23" s="37">
        <v>9</v>
      </c>
      <c r="U23" s="38" t="s">
        <v>37</v>
      </c>
      <c r="V23" s="39" t="s">
        <v>29</v>
      </c>
      <c r="W23" s="40" t="s">
        <v>30</v>
      </c>
      <c r="X23" s="37" t="s">
        <v>31</v>
      </c>
      <c r="Y23" s="41">
        <v>2</v>
      </c>
      <c r="Z23" s="42" t="s">
        <v>32</v>
      </c>
      <c r="AA23" s="42" t="s">
        <v>33</v>
      </c>
      <c r="AB23" s="37" t="s">
        <v>34</v>
      </c>
      <c r="AC23" s="43">
        <v>374518.58000000002</v>
      </c>
      <c r="AD23" s="44">
        <f t="shared" si="10"/>
        <v>749037.16000000003</v>
      </c>
    </row>
    <row r="24" ht="30.600000000000001" customHeight="1">
      <c r="B24" s="11"/>
      <c r="C24" s="30">
        <f t="shared" si="0"/>
        <v>10</v>
      </c>
      <c r="D24" s="31" t="str">
        <f t="shared" si="1"/>
        <v xml:space="preserve">Рабочее колесо ВМ 40/730 (левое)</v>
      </c>
      <c r="E24" s="32" t="str">
        <f t="shared" si="2"/>
        <v xml:space="preserve">Национальный режим не предоставляется – преимущество</v>
      </c>
      <c r="F24" s="30" t="str">
        <f t="shared" si="3"/>
        <v>шт.</v>
      </c>
      <c r="G24" s="33">
        <f t="shared" si="4"/>
        <v>1</v>
      </c>
      <c r="H24" s="34" t="s">
        <v>27</v>
      </c>
      <c r="I24" s="34" t="s">
        <v>27</v>
      </c>
      <c r="J24" s="34" t="s">
        <v>27</v>
      </c>
      <c r="K24" s="30" t="str">
        <f t="shared" si="5"/>
        <v>да</v>
      </c>
      <c r="L24" s="35">
        <f t="shared" si="6"/>
        <v>1589383.6100000001</v>
      </c>
      <c r="M24" s="36">
        <f t="shared" si="7"/>
        <v>1</v>
      </c>
      <c r="N24" s="35">
        <f t="shared" si="8"/>
        <v>1589383.6100000001</v>
      </c>
      <c r="O24" s="35">
        <f t="shared" si="9"/>
        <v>1589383.6100000001</v>
      </c>
      <c r="P24" s="14"/>
      <c r="T24" s="37">
        <v>10</v>
      </c>
      <c r="U24" s="38" t="s">
        <v>38</v>
      </c>
      <c r="V24" s="39" t="s">
        <v>29</v>
      </c>
      <c r="W24" s="40" t="s">
        <v>30</v>
      </c>
      <c r="X24" s="37" t="s">
        <v>31</v>
      </c>
      <c r="Y24" s="45">
        <v>1</v>
      </c>
      <c r="Z24" s="42" t="s">
        <v>32</v>
      </c>
      <c r="AA24" s="42" t="s">
        <v>33</v>
      </c>
      <c r="AB24" s="37" t="s">
        <v>34</v>
      </c>
      <c r="AC24" s="46">
        <v>1589383.6100000001</v>
      </c>
      <c r="AD24" s="44">
        <f t="shared" si="10"/>
        <v>1589383.6100000001</v>
      </c>
    </row>
    <row r="25" ht="33.600000000000001" customHeight="1">
      <c r="B25" s="11"/>
      <c r="C25" s="30">
        <f t="shared" si="0"/>
        <v>11</v>
      </c>
      <c r="D25" s="31" t="str">
        <f t="shared" si="1"/>
        <v xml:space="preserve">Колесо рабочее ВМ-40/730 (правое)</v>
      </c>
      <c r="E25" s="32" t="str">
        <f t="shared" si="2"/>
        <v xml:space="preserve">Национальный режим не предоставляется – преимущество</v>
      </c>
      <c r="F25" s="30" t="str">
        <f t="shared" si="3"/>
        <v>шт.</v>
      </c>
      <c r="G25" s="33">
        <f t="shared" si="4"/>
        <v>1</v>
      </c>
      <c r="H25" s="34" t="s">
        <v>27</v>
      </c>
      <c r="I25" s="34" t="s">
        <v>27</v>
      </c>
      <c r="J25" s="34" t="s">
        <v>27</v>
      </c>
      <c r="K25" s="30" t="str">
        <f t="shared" si="5"/>
        <v>да</v>
      </c>
      <c r="L25" s="35">
        <f t="shared" si="6"/>
        <v>1414520.22</v>
      </c>
      <c r="M25" s="36">
        <f t="shared" si="7"/>
        <v>1</v>
      </c>
      <c r="N25" s="35">
        <f t="shared" si="8"/>
        <v>1414520.22</v>
      </c>
      <c r="O25" s="35">
        <f t="shared" si="9"/>
        <v>1414520.22</v>
      </c>
      <c r="P25" s="14"/>
      <c r="T25" s="37">
        <v>11</v>
      </c>
      <c r="U25" s="38" t="s">
        <v>39</v>
      </c>
      <c r="V25" s="39" t="s">
        <v>29</v>
      </c>
      <c r="W25" s="40" t="s">
        <v>30</v>
      </c>
      <c r="X25" s="37" t="s">
        <v>31</v>
      </c>
      <c r="Y25" s="41">
        <v>1</v>
      </c>
      <c r="Z25" s="42" t="s">
        <v>32</v>
      </c>
      <c r="AA25" s="42" t="s">
        <v>33</v>
      </c>
      <c r="AB25" s="37" t="s">
        <v>34</v>
      </c>
      <c r="AC25" s="43">
        <v>1414520.22</v>
      </c>
      <c r="AD25" s="44">
        <f t="shared" si="10"/>
        <v>1414520.22</v>
      </c>
    </row>
    <row r="26" ht="29.449999999999999" customHeight="1">
      <c r="B26" s="11"/>
      <c r="C26" s="30">
        <f t="shared" si="0"/>
        <v>12</v>
      </c>
      <c r="D26" s="31" t="str">
        <f t="shared" si="1"/>
        <v xml:space="preserve">Корпус подшипника МВ</v>
      </c>
      <c r="E26" s="32" t="str">
        <f t="shared" si="2"/>
        <v xml:space="preserve">Национальный режим не предоставляется – преимущество</v>
      </c>
      <c r="F26" s="30" t="str">
        <f t="shared" si="3"/>
        <v>шт.</v>
      </c>
      <c r="G26" s="33">
        <f t="shared" si="4"/>
        <v>2</v>
      </c>
      <c r="H26" s="34" t="s">
        <v>27</v>
      </c>
      <c r="I26" s="34" t="s">
        <v>27</v>
      </c>
      <c r="J26" s="34" t="s">
        <v>27</v>
      </c>
      <c r="K26" s="30" t="str">
        <f t="shared" si="5"/>
        <v>да</v>
      </c>
      <c r="L26" s="35">
        <f t="shared" si="6"/>
        <v>533792.34999999998</v>
      </c>
      <c r="M26" s="36">
        <f t="shared" si="7"/>
        <v>1</v>
      </c>
      <c r="N26" s="35">
        <f t="shared" si="8"/>
        <v>533792.34999999998</v>
      </c>
      <c r="O26" s="35">
        <f t="shared" si="9"/>
        <v>1067584.7</v>
      </c>
      <c r="P26" s="14"/>
      <c r="T26" s="37">
        <v>12</v>
      </c>
      <c r="U26" s="38" t="s">
        <v>40</v>
      </c>
      <c r="V26" s="39" t="s">
        <v>29</v>
      </c>
      <c r="W26" s="40" t="s">
        <v>30</v>
      </c>
      <c r="X26" s="37" t="s">
        <v>31</v>
      </c>
      <c r="Y26" s="45">
        <v>2</v>
      </c>
      <c r="Z26" s="42" t="s">
        <v>32</v>
      </c>
      <c r="AA26" s="42" t="s">
        <v>33</v>
      </c>
      <c r="AB26" s="37" t="s">
        <v>34</v>
      </c>
      <c r="AC26" s="46">
        <v>533792.34999999998</v>
      </c>
      <c r="AD26" s="44">
        <f t="shared" si="10"/>
        <v>1067584.7</v>
      </c>
    </row>
    <row r="27" ht="28.899999999999999" customHeight="1">
      <c r="B27" s="11"/>
      <c r="C27" s="30">
        <f t="shared" si="0"/>
        <v>13</v>
      </c>
      <c r="D27" s="31" t="str">
        <f t="shared" si="1"/>
        <v xml:space="preserve">Корпус подшипника МВ</v>
      </c>
      <c r="E27" s="32" t="str">
        <f t="shared" si="2"/>
        <v xml:space="preserve">Национальный режим не предоставляется – преимущество</v>
      </c>
      <c r="F27" s="30" t="str">
        <f t="shared" si="3"/>
        <v>шт.</v>
      </c>
      <c r="G27" s="33">
        <f t="shared" si="4"/>
        <v>2</v>
      </c>
      <c r="H27" s="34" t="s">
        <v>27</v>
      </c>
      <c r="I27" s="34" t="s">
        <v>27</v>
      </c>
      <c r="J27" s="34" t="s">
        <v>27</v>
      </c>
      <c r="K27" s="30" t="str">
        <f t="shared" si="5"/>
        <v>да</v>
      </c>
      <c r="L27" s="35">
        <f t="shared" si="6"/>
        <v>533792.34999999998</v>
      </c>
      <c r="M27" s="36">
        <f t="shared" si="7"/>
        <v>1</v>
      </c>
      <c r="N27" s="35">
        <f t="shared" si="8"/>
        <v>533792.34999999998</v>
      </c>
      <c r="O27" s="35">
        <f t="shared" si="9"/>
        <v>1067584.7</v>
      </c>
      <c r="P27" s="14"/>
      <c r="T27" s="37">
        <v>13</v>
      </c>
      <c r="U27" s="38" t="s">
        <v>40</v>
      </c>
      <c r="V27" s="39" t="s">
        <v>29</v>
      </c>
      <c r="W27" s="40" t="s">
        <v>30</v>
      </c>
      <c r="X27" s="37" t="s">
        <v>31</v>
      </c>
      <c r="Y27" s="41">
        <v>2</v>
      </c>
      <c r="Z27" s="42" t="s">
        <v>32</v>
      </c>
      <c r="AA27" s="42" t="s">
        <v>33</v>
      </c>
      <c r="AB27" s="37" t="s">
        <v>34</v>
      </c>
      <c r="AC27" s="43">
        <v>533792.34999999998</v>
      </c>
      <c r="AD27" s="44">
        <f t="shared" si="10"/>
        <v>1067584.7</v>
      </c>
    </row>
    <row r="28" ht="33" customHeight="1">
      <c r="B28" s="11"/>
      <c r="C28" s="30">
        <f t="shared" si="0"/>
        <v>14</v>
      </c>
      <c r="D28" s="31" t="str">
        <f t="shared" si="1"/>
        <v xml:space="preserve">Корпус подшипника МВ</v>
      </c>
      <c r="E28" s="32" t="str">
        <f t="shared" si="2"/>
        <v xml:space="preserve">Национальный режим не предоставляется – преимущество</v>
      </c>
      <c r="F28" s="30" t="str">
        <f t="shared" si="3"/>
        <v>шт.</v>
      </c>
      <c r="G28" s="33">
        <f t="shared" si="4"/>
        <v>2</v>
      </c>
      <c r="H28" s="34" t="s">
        <v>27</v>
      </c>
      <c r="I28" s="34" t="s">
        <v>27</v>
      </c>
      <c r="J28" s="34" t="s">
        <v>27</v>
      </c>
      <c r="K28" s="30" t="str">
        <f t="shared" si="5"/>
        <v>да</v>
      </c>
      <c r="L28" s="35">
        <f t="shared" si="6"/>
        <v>533792.34999999998</v>
      </c>
      <c r="M28" s="36">
        <f t="shared" si="7"/>
        <v>1</v>
      </c>
      <c r="N28" s="35">
        <f t="shared" si="8"/>
        <v>533792.34999999998</v>
      </c>
      <c r="O28" s="35">
        <f t="shared" si="9"/>
        <v>1067584.7</v>
      </c>
      <c r="P28" s="14"/>
      <c r="T28" s="37">
        <v>14</v>
      </c>
      <c r="U28" s="38" t="s">
        <v>40</v>
      </c>
      <c r="V28" s="39" t="s">
        <v>29</v>
      </c>
      <c r="W28" s="40" t="s">
        <v>30</v>
      </c>
      <c r="X28" s="37" t="s">
        <v>31</v>
      </c>
      <c r="Y28" s="45">
        <v>2</v>
      </c>
      <c r="Z28" s="42" t="s">
        <v>32</v>
      </c>
      <c r="AA28" s="42" t="s">
        <v>33</v>
      </c>
      <c r="AB28" s="37" t="s">
        <v>34</v>
      </c>
      <c r="AC28" s="46">
        <v>533792.34999999998</v>
      </c>
      <c r="AD28" s="44">
        <f t="shared" si="10"/>
        <v>1067584.7</v>
      </c>
    </row>
    <row r="29" ht="30.600000000000001" customHeight="1">
      <c r="B29" s="11"/>
      <c r="C29" s="30">
        <f t="shared" si="0"/>
        <v>15</v>
      </c>
      <c r="D29" s="31" t="str">
        <f t="shared" si="1"/>
        <v xml:space="preserve">Корпус подшипника МВ</v>
      </c>
      <c r="E29" s="32" t="str">
        <f t="shared" si="2"/>
        <v xml:space="preserve">Национальный режим не предоставляется – преимущество</v>
      </c>
      <c r="F29" s="30" t="str">
        <f t="shared" si="3"/>
        <v>шт.</v>
      </c>
      <c r="G29" s="33">
        <f t="shared" si="4"/>
        <v>2</v>
      </c>
      <c r="H29" s="34" t="s">
        <v>27</v>
      </c>
      <c r="I29" s="34" t="s">
        <v>27</v>
      </c>
      <c r="J29" s="34" t="s">
        <v>27</v>
      </c>
      <c r="K29" s="30" t="str">
        <f t="shared" si="5"/>
        <v>да</v>
      </c>
      <c r="L29" s="35">
        <f t="shared" si="6"/>
        <v>533792.34999999998</v>
      </c>
      <c r="M29" s="36">
        <f t="shared" si="7"/>
        <v>1</v>
      </c>
      <c r="N29" s="35">
        <f t="shared" si="8"/>
        <v>533792.34999999998</v>
      </c>
      <c r="O29" s="35">
        <f t="shared" si="9"/>
        <v>1067584.7</v>
      </c>
      <c r="P29" s="14"/>
      <c r="T29" s="37">
        <v>15</v>
      </c>
      <c r="U29" s="38" t="s">
        <v>40</v>
      </c>
      <c r="V29" s="39" t="s">
        <v>29</v>
      </c>
      <c r="W29" s="40" t="s">
        <v>30</v>
      </c>
      <c r="X29" s="37" t="s">
        <v>31</v>
      </c>
      <c r="Y29" s="41">
        <v>2</v>
      </c>
      <c r="Z29" s="42" t="s">
        <v>32</v>
      </c>
      <c r="AA29" s="42" t="s">
        <v>33</v>
      </c>
      <c r="AB29" s="37" t="s">
        <v>34</v>
      </c>
      <c r="AC29" s="43">
        <v>533792.34999999998</v>
      </c>
      <c r="AD29" s="44">
        <f t="shared" si="10"/>
        <v>1067584.7</v>
      </c>
    </row>
    <row r="30" ht="30.600000000000001" customHeight="1">
      <c r="B30" s="11"/>
      <c r="C30" s="30">
        <f t="shared" si="0"/>
        <v>16</v>
      </c>
      <c r="D30" s="31" t="str">
        <f t="shared" si="1"/>
        <v xml:space="preserve">Корпус опорного-упорного подшипника Д18х2</v>
      </c>
      <c r="E30" s="32" t="str">
        <f t="shared" si="2"/>
        <v xml:space="preserve">Национальный режим не предоставляется – преимущество</v>
      </c>
      <c r="F30" s="30" t="str">
        <f t="shared" si="3"/>
        <v>шт.</v>
      </c>
      <c r="G30" s="33">
        <f t="shared" si="4"/>
        <v>1</v>
      </c>
      <c r="H30" s="34" t="s">
        <v>27</v>
      </c>
      <c r="I30" s="34" t="s">
        <v>27</v>
      </c>
      <c r="J30" s="34" t="s">
        <v>27</v>
      </c>
      <c r="K30" s="30" t="str">
        <f t="shared" si="5"/>
        <v>да</v>
      </c>
      <c r="L30" s="35">
        <f t="shared" si="6"/>
        <v>675163.93000000005</v>
      </c>
      <c r="M30" s="36">
        <f t="shared" si="7"/>
        <v>1</v>
      </c>
      <c r="N30" s="35">
        <f t="shared" si="8"/>
        <v>675163.93000000005</v>
      </c>
      <c r="O30" s="35">
        <f t="shared" si="9"/>
        <v>675163.93000000005</v>
      </c>
      <c r="P30" s="14"/>
      <c r="T30" s="37">
        <v>16</v>
      </c>
      <c r="U30" s="38" t="s">
        <v>41</v>
      </c>
      <c r="V30" s="39" t="s">
        <v>29</v>
      </c>
      <c r="W30" s="40" t="s">
        <v>30</v>
      </c>
      <c r="X30" s="37" t="s">
        <v>31</v>
      </c>
      <c r="Y30" s="45">
        <v>1</v>
      </c>
      <c r="Z30" s="42" t="s">
        <v>32</v>
      </c>
      <c r="AA30" s="42" t="s">
        <v>33</v>
      </c>
      <c r="AB30" s="37" t="s">
        <v>34</v>
      </c>
      <c r="AC30" s="46">
        <v>675163.93000000005</v>
      </c>
      <c r="AD30" s="44">
        <f t="shared" si="10"/>
        <v>675163.93000000005</v>
      </c>
    </row>
    <row r="31" ht="30.600000000000001" customHeight="1">
      <c r="B31" s="11"/>
      <c r="C31" s="30">
        <f t="shared" si="0"/>
        <v>17</v>
      </c>
      <c r="D31" s="31" t="str">
        <f t="shared" si="1"/>
        <v xml:space="preserve">Колесо рабочее ВГДН-15</v>
      </c>
      <c r="E31" s="32" t="str">
        <f t="shared" si="2"/>
        <v xml:space="preserve">Национальный режим не предоставляется – преимущество</v>
      </c>
      <c r="F31" s="30" t="str">
        <f t="shared" si="3"/>
        <v>шт.</v>
      </c>
      <c r="G31" s="33">
        <f t="shared" si="4"/>
        <v>1</v>
      </c>
      <c r="H31" s="34" t="s">
        <v>27</v>
      </c>
      <c r="I31" s="34" t="s">
        <v>27</v>
      </c>
      <c r="J31" s="34" t="s">
        <v>27</v>
      </c>
      <c r="K31" s="30" t="str">
        <f t="shared" si="5"/>
        <v>да</v>
      </c>
      <c r="L31" s="35">
        <f t="shared" si="6"/>
        <v>1447814.21</v>
      </c>
      <c r="M31" s="36">
        <f t="shared" si="7"/>
        <v>1</v>
      </c>
      <c r="N31" s="35">
        <f t="shared" si="8"/>
        <v>1447814.21</v>
      </c>
      <c r="O31" s="35">
        <f t="shared" si="9"/>
        <v>1447814.21</v>
      </c>
      <c r="P31" s="14"/>
      <c r="T31" s="37">
        <v>17</v>
      </c>
      <c r="U31" s="38" t="s">
        <v>42</v>
      </c>
      <c r="V31" s="39" t="s">
        <v>29</v>
      </c>
      <c r="W31" s="40" t="s">
        <v>30</v>
      </c>
      <c r="X31" s="37" t="s">
        <v>31</v>
      </c>
      <c r="Y31" s="41">
        <v>1</v>
      </c>
      <c r="Z31" s="42" t="s">
        <v>32</v>
      </c>
      <c r="AA31" s="42" t="s">
        <v>33</v>
      </c>
      <c r="AB31" s="37" t="s">
        <v>34</v>
      </c>
      <c r="AC31" s="43">
        <v>1447814.21</v>
      </c>
      <c r="AD31" s="44">
        <f t="shared" si="10"/>
        <v>1447814.21</v>
      </c>
    </row>
    <row r="32" ht="34.899999999999999" customHeight="1">
      <c r="B32" s="11"/>
      <c r="C32" s="30">
        <f t="shared" si="0"/>
        <v>18</v>
      </c>
      <c r="D32" s="31" t="str">
        <f t="shared" si="0"/>
        <v xml:space="preserve">Рабочее колесо ВМ-160/850-1</v>
      </c>
      <c r="E32" s="32" t="str">
        <f t="shared" si="2"/>
        <v xml:space="preserve">Национальный режим не предоставляется – преимущество</v>
      </c>
      <c r="F32" s="30" t="str">
        <f t="shared" si="3"/>
        <v>шт.</v>
      </c>
      <c r="G32" s="33">
        <f t="shared" si="4"/>
        <v>1</v>
      </c>
      <c r="H32" s="34" t="s">
        <v>27</v>
      </c>
      <c r="I32" s="34" t="s">
        <v>27</v>
      </c>
      <c r="J32" s="34" t="s">
        <v>27</v>
      </c>
      <c r="K32" s="30" t="str">
        <f t="shared" si="5"/>
        <v>да</v>
      </c>
      <c r="L32" s="35">
        <f t="shared" si="6"/>
        <v>4503551.9000000004</v>
      </c>
      <c r="M32" s="36">
        <f t="shared" si="7"/>
        <v>1</v>
      </c>
      <c r="N32" s="35">
        <f t="shared" si="8"/>
        <v>4503551.9000000004</v>
      </c>
      <c r="O32" s="35">
        <f t="shared" si="9"/>
        <v>4503551.9000000004</v>
      </c>
      <c r="P32" s="14"/>
      <c r="T32" s="37">
        <v>18</v>
      </c>
      <c r="U32" s="38" t="s">
        <v>43</v>
      </c>
      <c r="V32" s="39" t="s">
        <v>29</v>
      </c>
      <c r="W32" s="40" t="s">
        <v>30</v>
      </c>
      <c r="X32" s="37" t="s">
        <v>31</v>
      </c>
      <c r="Y32" s="45">
        <v>1</v>
      </c>
      <c r="Z32" s="42" t="s">
        <v>32</v>
      </c>
      <c r="AA32" s="42" t="s">
        <v>33</v>
      </c>
      <c r="AB32" s="37" t="s">
        <v>34</v>
      </c>
      <c r="AC32" s="46">
        <v>4503551.9000000004</v>
      </c>
      <c r="AD32" s="44">
        <f t="shared" si="10"/>
        <v>4503551.9000000004</v>
      </c>
    </row>
    <row r="33" ht="30">
      <c r="B33" s="11"/>
      <c r="C33" s="30">
        <f t="shared" si="0"/>
        <v>19</v>
      </c>
      <c r="D33" s="31" t="str">
        <f t="shared" si="0"/>
        <v xml:space="preserve">Колесо рабочее ДОД-28,5</v>
      </c>
      <c r="E33" s="32" t="str">
        <f t="shared" si="2"/>
        <v xml:space="preserve">Национальный режим не предоставляется – преимущество</v>
      </c>
      <c r="F33" s="30" t="str">
        <f t="shared" si="3"/>
        <v>шт.</v>
      </c>
      <c r="G33" s="33">
        <f t="shared" si="4"/>
        <v>4</v>
      </c>
      <c r="H33" s="34" t="s">
        <v>27</v>
      </c>
      <c r="I33" s="34" t="s">
        <v>27</v>
      </c>
      <c r="J33" s="34" t="s">
        <v>27</v>
      </c>
      <c r="K33" s="30" t="str">
        <f t="shared" si="5"/>
        <v>да</v>
      </c>
      <c r="L33" s="35">
        <f t="shared" si="6"/>
        <v>6949726.7800000003</v>
      </c>
      <c r="M33" s="36">
        <f t="shared" si="7"/>
        <v>1</v>
      </c>
      <c r="N33" s="35">
        <f t="shared" si="8"/>
        <v>6949726.7800000003</v>
      </c>
      <c r="O33" s="35">
        <f t="shared" si="9"/>
        <v>27798907.120000001</v>
      </c>
      <c r="P33" s="14"/>
      <c r="T33" s="37">
        <v>19</v>
      </c>
      <c r="U33" s="38" t="s">
        <v>44</v>
      </c>
      <c r="V33" s="39" t="s">
        <v>29</v>
      </c>
      <c r="W33" s="40" t="s">
        <v>30</v>
      </c>
      <c r="X33" s="37" t="s">
        <v>31</v>
      </c>
      <c r="Y33" s="41">
        <v>4</v>
      </c>
      <c r="Z33" s="42" t="s">
        <v>32</v>
      </c>
      <c r="AA33" s="42" t="s">
        <v>33</v>
      </c>
      <c r="AB33" s="37" t="s">
        <v>34</v>
      </c>
      <c r="AC33" s="43">
        <v>6949726.7800000003</v>
      </c>
      <c r="AD33" s="44">
        <f t="shared" si="10"/>
        <v>27798907.120000001</v>
      </c>
    </row>
    <row r="34" ht="30" customHeight="1">
      <c r="B34" s="11"/>
      <c r="C34" s="30">
        <f t="shared" si="0"/>
        <v>20</v>
      </c>
      <c r="D34" s="31" t="str">
        <f t="shared" si="0"/>
        <v xml:space="preserve">Направляющий аппарат ДОД-28,5</v>
      </c>
      <c r="E34" s="32" t="str">
        <f t="shared" si="2"/>
        <v xml:space="preserve">Национальный режим не предоставляется – преимущество</v>
      </c>
      <c r="F34" s="30" t="str">
        <f t="shared" si="3"/>
        <v>шт.</v>
      </c>
      <c r="G34" s="33">
        <f t="shared" si="4"/>
        <v>1</v>
      </c>
      <c r="H34" s="34" t="s">
        <v>27</v>
      </c>
      <c r="I34" s="34" t="s">
        <v>27</v>
      </c>
      <c r="J34" s="34" t="s">
        <v>27</v>
      </c>
      <c r="K34" s="30" t="str">
        <f t="shared" si="5"/>
        <v>да</v>
      </c>
      <c r="L34" s="35">
        <f t="shared" si="6"/>
        <v>9610245.9000000004</v>
      </c>
      <c r="M34" s="36">
        <f t="shared" si="7"/>
        <v>1</v>
      </c>
      <c r="N34" s="35">
        <f t="shared" si="8"/>
        <v>9610245.9000000004</v>
      </c>
      <c r="O34" s="35">
        <f t="shared" si="9"/>
        <v>9610245.9000000004</v>
      </c>
      <c r="P34" s="14"/>
      <c r="T34" s="37">
        <v>20</v>
      </c>
      <c r="U34" s="38" t="s">
        <v>45</v>
      </c>
      <c r="V34" s="39" t="s">
        <v>29</v>
      </c>
      <c r="W34" s="40" t="s">
        <v>30</v>
      </c>
      <c r="X34" s="37" t="s">
        <v>31</v>
      </c>
      <c r="Y34" s="47">
        <v>1</v>
      </c>
      <c r="Z34" s="42" t="s">
        <v>32</v>
      </c>
      <c r="AA34" s="42" t="s">
        <v>33</v>
      </c>
      <c r="AB34" s="37" t="s">
        <v>34</v>
      </c>
      <c r="AC34" s="46">
        <v>9610245.9000000004</v>
      </c>
      <c r="AD34" s="44">
        <f t="shared" si="10"/>
        <v>9610245.9000000004</v>
      </c>
    </row>
    <row r="35" ht="24" customHeight="1">
      <c r="B35" s="11"/>
      <c r="C35" s="48" t="s">
        <v>46</v>
      </c>
      <c r="D35" s="49"/>
      <c r="E35" s="50"/>
      <c r="F35" s="50"/>
      <c r="G35" s="50"/>
      <c r="H35" s="50"/>
      <c r="I35" s="50"/>
      <c r="J35" s="50"/>
      <c r="K35" s="50"/>
      <c r="L35" s="50"/>
      <c r="M35" s="51"/>
      <c r="N35" s="51"/>
      <c r="O35" s="52">
        <v>1</v>
      </c>
      <c r="P35" s="14"/>
      <c r="T35" s="53"/>
      <c r="U35" s="54"/>
      <c r="V35" s="54"/>
      <c r="W35" s="54"/>
      <c r="X35" s="54"/>
      <c r="Y35" s="54"/>
      <c r="Z35" s="54"/>
      <c r="AA35" s="54"/>
      <c r="AB35" s="54"/>
      <c r="AC35" s="54"/>
      <c r="AD35" s="55"/>
    </row>
    <row r="36" ht="24" customHeight="1">
      <c r="B36" s="11"/>
      <c r="C36" s="56" t="s">
        <v>47</v>
      </c>
      <c r="D36" s="57"/>
      <c r="E36" s="51"/>
      <c r="F36" s="51"/>
      <c r="G36" s="51"/>
      <c r="H36" s="51"/>
      <c r="I36" s="51"/>
      <c r="J36" s="51"/>
      <c r="K36" s="51"/>
      <c r="L36" s="58"/>
      <c r="M36" s="59" t="s">
        <v>48</v>
      </c>
      <c r="N36" s="59"/>
      <c r="O36" s="60">
        <f>SUM(O15:O34)</f>
        <v>59103088.520000003</v>
      </c>
      <c r="P36" s="14"/>
      <c r="T36" s="56" t="s">
        <v>49</v>
      </c>
      <c r="U36" s="51"/>
      <c r="V36" s="51"/>
      <c r="W36" s="51"/>
      <c r="X36" s="51"/>
      <c r="Y36" s="51"/>
      <c r="Z36" s="58"/>
      <c r="AA36" s="51"/>
      <c r="AB36" s="61" t="s">
        <v>50</v>
      </c>
      <c r="AC36" s="62"/>
      <c r="AD36" s="63">
        <f>SUM(AD15:AD34)</f>
        <v>59103088.520000003</v>
      </c>
    </row>
    <row r="37" ht="24" customHeight="1">
      <c r="B37" s="11"/>
      <c r="C37" s="64"/>
      <c r="D37" s="65"/>
      <c r="E37" s="66"/>
      <c r="F37" s="66"/>
      <c r="G37" s="66"/>
      <c r="H37" s="66"/>
      <c r="I37" s="66"/>
      <c r="J37" s="66"/>
      <c r="K37" s="66"/>
      <c r="L37" s="67"/>
      <c r="M37" s="68" t="s">
        <v>51</v>
      </c>
      <c r="N37" s="69">
        <f>AC37</f>
        <v>0.22</v>
      </c>
      <c r="O37" s="60">
        <f>N37*O36</f>
        <v>13002679.474400001</v>
      </c>
      <c r="P37" s="14"/>
      <c r="T37" s="64"/>
      <c r="U37" s="66"/>
      <c r="V37" s="66"/>
      <c r="W37" s="66"/>
      <c r="X37" s="66"/>
      <c r="Y37" s="66"/>
      <c r="Z37" s="67"/>
      <c r="AA37" s="66"/>
      <c r="AB37" s="70" t="s">
        <v>51</v>
      </c>
      <c r="AC37" s="71">
        <v>0.22</v>
      </c>
      <c r="AD37" s="63">
        <f>AC37*AD36</f>
        <v>13002679.474400001</v>
      </c>
    </row>
    <row r="38" ht="24" customHeight="1">
      <c r="B38" s="11"/>
      <c r="C38" s="72"/>
      <c r="D38" s="73"/>
      <c r="E38" s="74"/>
      <c r="F38" s="74"/>
      <c r="G38" s="74"/>
      <c r="H38" s="74"/>
      <c r="I38" s="74"/>
      <c r="J38" s="74"/>
      <c r="K38" s="74"/>
      <c r="L38" s="75"/>
      <c r="M38" s="59" t="s">
        <v>52</v>
      </c>
      <c r="N38" s="59"/>
      <c r="O38" s="60">
        <f>SUM(O36:O37)</f>
        <v>72105767.99440001</v>
      </c>
      <c r="P38" s="14"/>
      <c r="T38" s="72"/>
      <c r="U38" s="74"/>
      <c r="V38" s="74"/>
      <c r="W38" s="74"/>
      <c r="X38" s="74"/>
      <c r="Y38" s="74"/>
      <c r="Z38" s="75"/>
      <c r="AA38" s="74"/>
      <c r="AB38" s="76" t="s">
        <v>52</v>
      </c>
      <c r="AC38" s="55"/>
      <c r="AD38" s="63">
        <f>SUM(AD36:AD37)</f>
        <v>72105767.99440001</v>
      </c>
    </row>
    <row r="39" ht="40.5" customHeight="1">
      <c r="B39" s="11"/>
      <c r="P39" s="14"/>
      <c r="T39" s="77" t="s">
        <v>53</v>
      </c>
      <c r="U39" s="77"/>
      <c r="V39" s="77"/>
      <c r="W39" s="77"/>
      <c r="X39" s="77"/>
      <c r="Y39" s="77"/>
      <c r="Z39" s="77"/>
      <c r="AA39" s="77"/>
      <c r="AB39" s="77"/>
      <c r="AC39" s="77"/>
      <c r="AD39" s="77"/>
    </row>
    <row r="40" ht="15.75" customHeight="1">
      <c r="B40" s="11"/>
      <c r="C40" s="78"/>
      <c r="D40" s="79"/>
      <c r="E40" s="78"/>
      <c r="F40" s="80"/>
      <c r="G40" s="80"/>
      <c r="H40" s="78"/>
      <c r="I40" s="81"/>
      <c r="J40" s="82"/>
      <c r="K40" s="81"/>
      <c r="M40" s="80"/>
      <c r="N40" s="80"/>
      <c r="O40" s="80"/>
      <c r="P40" s="14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</row>
    <row r="41" ht="15">
      <c r="B41" s="11"/>
      <c r="C41" s="84" t="s">
        <v>54</v>
      </c>
      <c r="D41" s="85"/>
      <c r="E41" s="84"/>
      <c r="F41" s="86"/>
      <c r="G41" s="86"/>
      <c r="H41" s="87" t="s">
        <v>55</v>
      </c>
      <c r="I41" s="81" t="s">
        <v>56</v>
      </c>
      <c r="J41" s="84" t="s">
        <v>57</v>
      </c>
      <c r="M41" s="86"/>
      <c r="N41" s="86"/>
      <c r="O41" s="86"/>
      <c r="P41" s="14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</row>
    <row r="42" ht="16.5" customHeight="1">
      <c r="B42" s="88"/>
      <c r="C42" s="89"/>
      <c r="D42" s="90"/>
      <c r="E42" s="89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2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</row>
    <row r="43" ht="15.75" customHeight="1"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</row>
    <row r="44" ht="15.75" customHeight="1">
      <c r="B44" s="93" t="s">
        <v>58</v>
      </c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</row>
    <row r="45"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</row>
    <row r="46"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</row>
    <row r="47"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</row>
    <row r="48"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</row>
    <row r="49"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</row>
    <row r="50"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</row>
    <row r="51"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</row>
    <row r="52"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</row>
    <row r="53"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</row>
    <row r="54" ht="22.899999999999999" customHeight="1"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</row>
    <row r="55"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</row>
    <row r="56"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</row>
    <row r="57"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</row>
    <row r="58"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</row>
    <row r="59"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</row>
    <row r="60"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</row>
    <row r="61"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</row>
    <row r="62"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</row>
    <row r="63" ht="107.25" customHeight="1"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</row>
    <row r="64" ht="51" customHeight="1">
      <c r="U64" s="94"/>
      <c r="W64" s="94"/>
      <c r="X64" s="94"/>
      <c r="Y64" s="94"/>
    </row>
    <row r="65">
      <c r="U65" s="94"/>
      <c r="X65" s="94"/>
      <c r="Y65" s="94"/>
    </row>
    <row r="66">
      <c r="U66" s="94"/>
      <c r="X66" s="94"/>
      <c r="Y66" s="94"/>
    </row>
    <row r="67">
      <c r="U67" s="94"/>
      <c r="X67" s="94"/>
      <c r="Y67" s="94"/>
    </row>
    <row r="68">
      <c r="U68" s="94"/>
      <c r="X68" s="94"/>
      <c r="Y68" s="94"/>
    </row>
    <row r="69">
      <c r="U69" s="94"/>
      <c r="X69" s="94"/>
      <c r="Y69" s="94"/>
    </row>
  </sheetData>
  <sheetProtection autoFilter="1" deleteColumns="1" deleteRows="0" formatCells="0" formatColumns="0" formatRows="0" insertColumns="1" insertHyperlinks="1" insertRows="0" pivotTables="1" selectLockedCells="0" selectUnlockedCells="0" sheet="0" sort="1"/>
  <mergeCells count="22">
    <mergeCell ref="B1:AD1"/>
    <mergeCell ref="T3:AD5"/>
    <mergeCell ref="C7:O7"/>
    <mergeCell ref="T7:AD7"/>
    <mergeCell ref="C9:D9"/>
    <mergeCell ref="H9:L9"/>
    <mergeCell ref="C10:D10"/>
    <mergeCell ref="H10:L10"/>
    <mergeCell ref="C11:D11"/>
    <mergeCell ref="H11:L11"/>
    <mergeCell ref="C35:N35"/>
    <mergeCell ref="T35:AD35"/>
    <mergeCell ref="C36:L38"/>
    <mergeCell ref="M36:N36"/>
    <mergeCell ref="T36:Z38"/>
    <mergeCell ref="AB36:AC36"/>
    <mergeCell ref="M38:N38"/>
    <mergeCell ref="AB38:AC38"/>
    <mergeCell ref="T39:AD63"/>
    <mergeCell ref="C40:E40"/>
    <mergeCell ref="C41:E42"/>
    <mergeCell ref="B44:P58"/>
  </mergeCells>
  <dataValidations count="3" disablePrompts="0">
    <dataValidation sqref="V15:V31" type="list" allowBlank="1" errorStyle="stop" imeMode="noControl" operator="between" showDropDown="0" showErrorMessage="1" showInputMessage="1">
      <formula1>Справочники!$A$2:$A$6</formula1>
    </dataValidation>
    <dataValidation sqref="Z15:Z28 Z30 Z33" type="list" allowBlank="1" errorStyle="stop" imeMode="noControl" operator="between" showDropDown="0" showErrorMessage="1" showInputMessage="1">
      <formula1>Справочники!$A$9:$A$11</formula1>
    </dataValidation>
    <dataValidation sqref="AA15:AA31" type="list" allowBlank="1" errorStyle="stop" imeMode="noControl" operator="between" showDropDown="0" showErrorMessage="1" showInputMessage="1">
      <formula1>Справочники!$A$14:$A$16</formula1>
    </dataValidation>
  </dataValidations>
  <printOptions headings="0" gridLines="0"/>
  <pageMargins left="0.25" right="0.25" top="0.75" bottom="0.75" header="0.29999999999999999" footer="0.29999999999999999"/>
  <pageSetup paperSize="9" scale="21" fitToWidth="1" fitToHeight="0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2500F2-0066-42E9-8C03-007600440036}" type="list" allowBlank="1" errorStyle="stop" imeMode="noControl" operator="between" showDropDown="0" showErrorMessage="1" showInputMessage="1">
          <x14:formula1>
            <xm:f>"да,нет"</xm:f>
          </x14:formula1>
          <xm:sqref>AB15:AB30 AB32:AB33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C15" activeCellId="0" sqref="C15"/>
    </sheetView>
  </sheetViews>
  <sheetFormatPr defaultRowHeight="12.75"/>
  <cols>
    <col customWidth="1" min="1" max="1" width="23.5703125"/>
  </cols>
  <sheetData>
    <row r="2" ht="15">
      <c r="A2" s="95" t="s">
        <v>59</v>
      </c>
      <c r="B2" s="95"/>
    </row>
    <row r="3" ht="15">
      <c r="A3" s="96" t="s">
        <v>60</v>
      </c>
      <c r="B3" s="95"/>
    </row>
    <row r="4" ht="15">
      <c r="A4" s="96" t="s">
        <v>61</v>
      </c>
      <c r="B4" s="95"/>
    </row>
    <row r="5" ht="15">
      <c r="A5" s="96" t="s">
        <v>29</v>
      </c>
      <c r="B5" s="95"/>
    </row>
    <row r="6" ht="15">
      <c r="A6" s="95" t="s">
        <v>62</v>
      </c>
      <c r="B6" s="95"/>
    </row>
    <row r="9" ht="15">
      <c r="A9" s="1" t="s">
        <v>63</v>
      </c>
    </row>
    <row r="10" ht="32.25" customHeight="1">
      <c r="A10" s="2" t="s">
        <v>32</v>
      </c>
    </row>
    <row r="11" ht="15">
      <c r="A11" s="1" t="s">
        <v>64</v>
      </c>
    </row>
    <row r="14">
      <c r="A14" s="97" t="s">
        <v>65</v>
      </c>
    </row>
    <row r="15" ht="25.5">
      <c r="A15" s="98" t="s">
        <v>66</v>
      </c>
    </row>
    <row r="16">
      <c r="A16" s="97" t="s">
        <v>33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Р7-Офис/2026.1.2.1942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 Щербаков</dc:creator>
  <cp:lastModifiedBy>kollang_nv@DGK.RU</cp:lastModifiedBy>
  <cp:revision>2</cp:revision>
  <dcterms:created xsi:type="dcterms:W3CDTF">2023-05-26T08:17:29Z</dcterms:created>
  <dcterms:modified xsi:type="dcterms:W3CDTF">2026-08-24T00:20:19Z</dcterms:modified>
</cp:coreProperties>
</file>