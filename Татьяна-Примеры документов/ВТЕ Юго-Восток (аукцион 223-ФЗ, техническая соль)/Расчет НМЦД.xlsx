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W:\Поставки\Снабжение\ЗАКУПКИ ПО ГОДАМ\2027\Шодмонов\ПГР\п.5 соль\"/>
    </mc:Choice>
  </mc:AlternateContent>
  <xr:revisionPtr revIDLastSave="0" documentId="13_ncr:1_{F257EE2C-7AB2-4A85-86DF-BB54C639A3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4" i="1" l="1"/>
  <c r="B16" i="1"/>
  <c r="H25" i="1" l="1"/>
  <c r="D16" i="1" s="1"/>
  <c r="F24" i="1" l="1"/>
  <c r="I25" i="1" l="1"/>
  <c r="E16" i="1" l="1"/>
  <c r="G16" i="1" s="1"/>
  <c r="D8" i="1" l="1"/>
</calcChain>
</file>

<file path=xl/sharedStrings.xml><?xml version="1.0" encoding="utf-8"?>
<sst xmlns="http://schemas.openxmlformats.org/spreadsheetml/2006/main" count="42" uniqueCount="41">
  <si>
    <t>Предмет договора</t>
  </si>
  <si>
    <t>Основные характеристики объекта закупки</t>
  </si>
  <si>
    <t>В соответствии с Приложением к извещению</t>
  </si>
  <si>
    <t>Используемый метод определения начальной (максимальной) цены договора с обоснованием</t>
  </si>
  <si>
    <t>Метод сопоставимых рыночных цен (анализ рынка)</t>
  </si>
  <si>
    <t>Начальная (максимальная) цена договора, руб. с НДС</t>
  </si>
  <si>
    <t>Согласно таблицам указанным ниже</t>
  </si>
  <si>
    <t>№ п/п</t>
  </si>
  <si>
    <t>Наименование товара (работы, услуги)</t>
  </si>
  <si>
    <t>Единица измерения</t>
  </si>
  <si>
    <t>Запрос поставщикам (подрядчикам, исполнителям)</t>
  </si>
  <si>
    <t>Информация от поставщика (подрядчиков, исполнителей) о предлагаемых идентичных (однородных) товарах (работах, услугах)</t>
  </si>
  <si>
    <t>№1</t>
  </si>
  <si>
    <t>№2</t>
  </si>
  <si>
    <t>№3</t>
  </si>
  <si>
    <t>Определение ценовой информации, полученной от поставщиков (подрядчиков, исполнителей)</t>
  </si>
  <si>
    <t>формирования начальной (максимальной) цены договора</t>
  </si>
  <si>
    <t>методом сопоставимых рыночных цен (анализ рынка)</t>
  </si>
  <si>
    <t>РАСЧЕТ</t>
  </si>
  <si>
    <t>Итого:</t>
  </si>
  <si>
    <t>Расчет начальной (максимальной) цены договора с обоснованием</t>
  </si>
  <si>
    <t>Дата сбора данных</t>
  </si>
  <si>
    <t>Срок действия цен</t>
  </si>
  <si>
    <t>Средняя цена, за единицу товара руб. с НДС</t>
  </si>
  <si>
    <t xml:space="preserve">Определение общей начальной (максимальной) цены договора
</t>
  </si>
  <si>
    <t>Общая цена за  товар (работы, услуги) руб. с НДС</t>
  </si>
  <si>
    <t>Общая сумма, руб. с НДС</t>
  </si>
  <si>
    <t>Наименование товара</t>
  </si>
  <si>
    <t xml:space="preserve"> кол-во товара</t>
  </si>
  <si>
    <t xml:space="preserve"> количество (объем) товара, (работы, услуги)</t>
  </si>
  <si>
    <t>№б/н</t>
  </si>
  <si>
    <t>№бн</t>
  </si>
  <si>
    <t>Приложение к Протоколу НМЦД</t>
  </si>
  <si>
    <t>Начальник отдела снабжения                              Биленская А.О.</t>
  </si>
  <si>
    <t xml:space="preserve">Соль для промышленных целей </t>
  </si>
  <si>
    <t>Поставка технической соли для производства жидкого противогололедного реагента</t>
  </si>
  <si>
    <t>№314/07-26</t>
  </si>
  <si>
    <t>Цена в руб. с НДС 22%</t>
  </si>
  <si>
    <t>кг</t>
  </si>
  <si>
    <t>В том числе НДС 22%</t>
  </si>
  <si>
    <t xml:space="preserve">Итого цена с коэф. оптимизации заказчика (Заключение ГБУ  «Аналитический центр» № 0214-4-2-3-200826 от 20.08.2026 г., руб. с НДС)
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</si>
</sst>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#,##0.00_р_."/>
    <numFmt numFmtId="167" formatCode="_(&quot;$&quot;* #,##0.00_);_(&quot;$&quot;* \(#,##0.00\);_(&quot;$&quot;* &quot;-&quot;??_);_(@_)"/>
    <numFmt numFmtId="168" formatCode="_(* #,##0.00_);_(* \(#,##0.00\);_(* &quot;-&quot;??_);_(@_)"/>
  </numFmts>
  <fonts count="12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6">
    <xf numFmtId="0" fontId="0" fillId="0" borderId="0"/>
    <xf numFmtId="164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4" fillId="0" borderId="0"/>
    <xf numFmtId="0" fontId="3" fillId="0" borderId="0"/>
    <xf numFmtId="165" fontId="2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47">
    <xf numFmtId="0" fontId="0" fillId="0" borderId="0" xfId="0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4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0" fontId="8" fillId="0" borderId="0" xfId="0" applyFont="1" applyBorder="1" applyAlignment="1">
      <alignment horizontal="right" vertical="center" wrapText="1"/>
    </xf>
    <xf numFmtId="4" fontId="8" fillId="0" borderId="0" xfId="0" applyNumberFormat="1" applyFont="1" applyBorder="1" applyAlignment="1">
      <alignment vertical="center" wrapText="1"/>
    </xf>
    <xf numFmtId="4" fontId="8" fillId="0" borderId="0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4" fontId="9" fillId="0" borderId="3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2" fontId="9" fillId="0" borderId="3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" fontId="9" fillId="0" borderId="1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vertical="center" wrapText="1"/>
    </xf>
    <xf numFmtId="4" fontId="8" fillId="0" borderId="1" xfId="0" applyNumberFormat="1" applyFont="1" applyBorder="1" applyAlignment="1">
      <alignment horizontal="center" vertical="center" wrapText="1"/>
    </xf>
    <xf numFmtId="4" fontId="9" fillId="0" borderId="1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" fontId="9" fillId="0" borderId="2" xfId="0" applyNumberFormat="1" applyFont="1" applyBorder="1" applyAlignment="1">
      <alignment horizontal="center" vertical="center" wrapText="1"/>
    </xf>
    <xf numFmtId="4" fontId="9" fillId="0" borderId="6" xfId="0" applyNumberFormat="1" applyFont="1" applyBorder="1" applyAlignment="1">
      <alignment horizontal="center" vertical="center" wrapText="1"/>
    </xf>
    <xf numFmtId="4" fontId="9" fillId="0" borderId="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166" fontId="9" fillId="2" borderId="2" xfId="0" applyNumberFormat="1" applyFont="1" applyFill="1" applyBorder="1" applyAlignment="1">
      <alignment horizontal="center" vertical="center" wrapText="1"/>
    </xf>
    <xf numFmtId="166" fontId="9" fillId="2" borderId="6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" fontId="8" fillId="0" borderId="1" xfId="0" applyNumberFormat="1" applyFont="1" applyBorder="1" applyAlignment="1">
      <alignment horizontal="left" vertical="center" wrapText="1"/>
    </xf>
  </cellXfs>
  <cellStyles count="16">
    <cellStyle name="Денежный 2" xfId="1" xr:uid="{00000000-0005-0000-0000-000000000000}"/>
    <cellStyle name="Денежный 2 2" xfId="2" xr:uid="{00000000-0005-0000-0000-000001000000}"/>
    <cellStyle name="Денежный 3" xfId="3" xr:uid="{00000000-0005-0000-0000-000002000000}"/>
    <cellStyle name="Обычный" xfId="0" builtinId="0"/>
    <cellStyle name="Обычный 2" xfId="4" xr:uid="{00000000-0005-0000-0000-000004000000}"/>
    <cellStyle name="Обычный 2 10" xfId="5" xr:uid="{00000000-0005-0000-0000-000005000000}"/>
    <cellStyle name="Обычный 2 2" xfId="6" xr:uid="{00000000-0005-0000-0000-000006000000}"/>
    <cellStyle name="Обычный 3" xfId="7" xr:uid="{00000000-0005-0000-0000-000007000000}"/>
    <cellStyle name="Обычный 3 2 2" xfId="8" xr:uid="{00000000-0005-0000-0000-000008000000}"/>
    <cellStyle name="Обычный 4" xfId="9" xr:uid="{00000000-0005-0000-0000-000009000000}"/>
    <cellStyle name="Обычный 5" xfId="10" xr:uid="{00000000-0005-0000-0000-00000A000000}"/>
    <cellStyle name="Обычный 6" xfId="11" xr:uid="{00000000-0005-0000-0000-00000B000000}"/>
    <cellStyle name="Обычный 9" xfId="12" xr:uid="{00000000-0005-0000-0000-00000C000000}"/>
    <cellStyle name="Финансовый 2" xfId="13" xr:uid="{00000000-0005-0000-0000-00000D000000}"/>
    <cellStyle name="Финансовый 3" xfId="14" xr:uid="{00000000-0005-0000-0000-00000E000000}"/>
    <cellStyle name="Финансовый 4" xfId="15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view="pageBreakPreview" topLeftCell="A16" zoomScale="60" zoomScaleNormal="60" workbookViewId="0">
      <selection activeCell="G27" sqref="G27"/>
    </sheetView>
  </sheetViews>
  <sheetFormatPr defaultColWidth="64.5703125" defaultRowHeight="18.75" x14ac:dyDescent="0.25"/>
  <cols>
    <col min="1" max="1" width="7" style="1" customWidth="1"/>
    <col min="2" max="2" width="74.140625" style="1" customWidth="1"/>
    <col min="3" max="3" width="24.7109375" style="1" customWidth="1"/>
    <col min="4" max="4" width="27.5703125" style="1" customWidth="1"/>
    <col min="5" max="5" width="27" style="1" customWidth="1"/>
    <col min="6" max="6" width="26.5703125" style="1" customWidth="1"/>
    <col min="7" max="7" width="34.28515625" style="1" customWidth="1"/>
    <col min="8" max="8" width="24.28515625" style="1" customWidth="1"/>
    <col min="9" max="9" width="29.42578125" style="1" customWidth="1"/>
    <col min="10" max="10" width="37.7109375" style="1" customWidth="1"/>
    <col min="11" max="11" width="43.42578125" style="1" customWidth="1"/>
    <col min="12" max="16384" width="64.5703125" style="1"/>
  </cols>
  <sheetData>
    <row r="1" spans="1:9" ht="37.5" customHeight="1" x14ac:dyDescent="0.25">
      <c r="A1" s="42" t="s">
        <v>32</v>
      </c>
      <c r="B1" s="42"/>
      <c r="C1" s="42"/>
      <c r="D1" s="42"/>
      <c r="E1" s="42"/>
      <c r="F1" s="42"/>
      <c r="G1" s="42"/>
      <c r="H1" s="42"/>
      <c r="I1" s="42"/>
    </row>
    <row r="2" spans="1:9" s="2" customFormat="1" ht="20.25" customHeight="1" x14ac:dyDescent="0.25">
      <c r="A2" s="44" t="s">
        <v>18</v>
      </c>
      <c r="B2" s="44"/>
      <c r="C2" s="44"/>
      <c r="D2" s="44"/>
      <c r="E2" s="44"/>
      <c r="F2" s="44"/>
      <c r="G2" s="44"/>
      <c r="H2" s="44"/>
      <c r="I2" s="44"/>
    </row>
    <row r="3" spans="1:9" s="2" customFormat="1" ht="20.25" customHeight="1" x14ac:dyDescent="0.25">
      <c r="A3" s="44" t="s">
        <v>16</v>
      </c>
      <c r="B3" s="44"/>
      <c r="C3" s="44"/>
      <c r="D3" s="44"/>
      <c r="E3" s="44"/>
      <c r="F3" s="44"/>
      <c r="G3" s="44"/>
      <c r="H3" s="44"/>
      <c r="I3" s="44"/>
    </row>
    <row r="4" spans="1:9" ht="26.25" x14ac:dyDescent="0.25">
      <c r="A4" s="4"/>
      <c r="B4" s="4"/>
      <c r="C4" s="4"/>
      <c r="D4" s="4"/>
      <c r="E4" s="4"/>
      <c r="F4" s="4"/>
      <c r="G4" s="4"/>
      <c r="H4" s="4"/>
      <c r="I4" s="4"/>
    </row>
    <row r="5" spans="1:9" ht="54.75" customHeight="1" x14ac:dyDescent="0.25">
      <c r="A5" s="35" t="s">
        <v>0</v>
      </c>
      <c r="B5" s="35"/>
      <c r="C5" s="35"/>
      <c r="D5" s="45" t="s">
        <v>35</v>
      </c>
      <c r="E5" s="45"/>
      <c r="F5" s="45"/>
      <c r="G5" s="45"/>
      <c r="H5" s="45"/>
      <c r="I5" s="45"/>
    </row>
    <row r="6" spans="1:9" ht="26.25" x14ac:dyDescent="0.25">
      <c r="A6" s="35" t="s">
        <v>1</v>
      </c>
      <c r="B6" s="35"/>
      <c r="C6" s="35"/>
      <c r="D6" s="45" t="s">
        <v>2</v>
      </c>
      <c r="E6" s="45"/>
      <c r="F6" s="45"/>
      <c r="G6" s="45"/>
      <c r="H6" s="45"/>
      <c r="I6" s="45"/>
    </row>
    <row r="7" spans="1:9" ht="26.25" x14ac:dyDescent="0.25">
      <c r="A7" s="35" t="s">
        <v>3</v>
      </c>
      <c r="B7" s="35"/>
      <c r="C7" s="35"/>
      <c r="D7" s="45" t="s">
        <v>4</v>
      </c>
      <c r="E7" s="45"/>
      <c r="F7" s="45"/>
      <c r="G7" s="45"/>
      <c r="H7" s="45"/>
      <c r="I7" s="45"/>
    </row>
    <row r="8" spans="1:9" ht="25.5" x14ac:dyDescent="0.25">
      <c r="A8" s="35" t="s">
        <v>5</v>
      </c>
      <c r="B8" s="35"/>
      <c r="C8" s="35"/>
      <c r="D8" s="46">
        <f>G16</f>
        <v>117715500</v>
      </c>
      <c r="E8" s="46"/>
      <c r="F8" s="46"/>
      <c r="G8" s="46"/>
      <c r="H8" s="46"/>
      <c r="I8" s="46"/>
    </row>
    <row r="9" spans="1:9" ht="50.25" customHeight="1" x14ac:dyDescent="0.25">
      <c r="A9" s="35" t="s">
        <v>20</v>
      </c>
      <c r="B9" s="35"/>
      <c r="C9" s="35"/>
      <c r="D9" s="45" t="s">
        <v>6</v>
      </c>
      <c r="E9" s="45"/>
      <c r="F9" s="45"/>
      <c r="G9" s="45"/>
      <c r="H9" s="45"/>
      <c r="I9" s="45"/>
    </row>
    <row r="10" spans="1:9" ht="26.25" x14ac:dyDescent="0.25">
      <c r="A10" s="4"/>
      <c r="B10" s="4"/>
      <c r="C10" s="4"/>
      <c r="D10" s="4"/>
      <c r="E10" s="4"/>
      <c r="F10" s="4"/>
      <c r="G10" s="4"/>
      <c r="H10" s="4"/>
      <c r="I10" s="4"/>
    </row>
    <row r="11" spans="1:9" s="2" customFormat="1" ht="25.5" x14ac:dyDescent="0.25">
      <c r="A11" s="44" t="s">
        <v>24</v>
      </c>
      <c r="B11" s="44"/>
      <c r="C11" s="44"/>
      <c r="D11" s="44"/>
      <c r="E11" s="44"/>
      <c r="F11" s="44"/>
      <c r="G11" s="44"/>
      <c r="H11" s="44"/>
      <c r="I11" s="44"/>
    </row>
    <row r="12" spans="1:9" s="2" customFormat="1" ht="25.5" x14ac:dyDescent="0.25">
      <c r="A12" s="44" t="s">
        <v>17</v>
      </c>
      <c r="B12" s="44"/>
      <c r="C12" s="44"/>
      <c r="D12" s="44"/>
      <c r="E12" s="44"/>
      <c r="F12" s="44"/>
      <c r="G12" s="44"/>
      <c r="H12" s="44"/>
      <c r="I12" s="44"/>
    </row>
    <row r="13" spans="1:9" ht="26.25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ht="127.5" x14ac:dyDescent="0.25">
      <c r="A14" s="5" t="s">
        <v>7</v>
      </c>
      <c r="B14" s="5" t="s">
        <v>8</v>
      </c>
      <c r="C14" s="5" t="s">
        <v>9</v>
      </c>
      <c r="D14" s="5" t="s">
        <v>29</v>
      </c>
      <c r="E14" s="29" t="s">
        <v>10</v>
      </c>
      <c r="F14" s="30"/>
      <c r="G14" s="29" t="s">
        <v>25</v>
      </c>
      <c r="H14" s="30"/>
      <c r="I14" s="31"/>
    </row>
    <row r="15" spans="1:9" s="3" customFormat="1" ht="25.5" x14ac:dyDescent="0.25">
      <c r="A15" s="5">
        <v>1</v>
      </c>
      <c r="B15" s="5">
        <v>2</v>
      </c>
      <c r="C15" s="5">
        <v>3</v>
      </c>
      <c r="D15" s="5">
        <v>4</v>
      </c>
      <c r="E15" s="29">
        <v>5</v>
      </c>
      <c r="F15" s="30"/>
      <c r="G15" s="29">
        <v>6</v>
      </c>
      <c r="H15" s="30"/>
      <c r="I15" s="31"/>
    </row>
    <row r="16" spans="1:9" ht="105" customHeight="1" x14ac:dyDescent="0.25">
      <c r="A16" s="6">
        <v>1</v>
      </c>
      <c r="B16" s="7" t="str">
        <f>D5</f>
        <v>Поставка технической соли для производства жидкого противогололедного реагента</v>
      </c>
      <c r="C16" s="6" t="s">
        <v>38</v>
      </c>
      <c r="D16" s="8">
        <f>H25</f>
        <v>12950000</v>
      </c>
      <c r="E16" s="37">
        <f>I25</f>
        <v>117715500</v>
      </c>
      <c r="F16" s="38"/>
      <c r="G16" s="32">
        <f>E16</f>
        <v>117715500</v>
      </c>
      <c r="H16" s="33"/>
      <c r="I16" s="34"/>
    </row>
    <row r="17" spans="1:10" ht="26.25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10" s="2" customFormat="1" ht="25.5" x14ac:dyDescent="0.25">
      <c r="A18" s="44" t="s">
        <v>15</v>
      </c>
      <c r="B18" s="44"/>
      <c r="C18" s="44"/>
      <c r="D18" s="44"/>
      <c r="E18" s="44"/>
      <c r="F18" s="44"/>
      <c r="G18" s="44"/>
      <c r="H18" s="44"/>
      <c r="I18" s="44"/>
    </row>
    <row r="19" spans="1:10" ht="26.25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10" ht="25.5" customHeight="1" x14ac:dyDescent="0.25">
      <c r="A20" s="36" t="s">
        <v>7</v>
      </c>
      <c r="B20" s="36" t="s">
        <v>11</v>
      </c>
      <c r="C20" s="36"/>
      <c r="D20" s="36"/>
      <c r="E20" s="36"/>
      <c r="F20" s="36"/>
      <c r="G20" s="39" t="s">
        <v>40</v>
      </c>
      <c r="H20" s="36" t="s">
        <v>28</v>
      </c>
      <c r="I20" s="36" t="s">
        <v>26</v>
      </c>
    </row>
    <row r="21" spans="1:10" ht="25.5" x14ac:dyDescent="0.25">
      <c r="A21" s="36"/>
      <c r="B21" s="36" t="s">
        <v>27</v>
      </c>
      <c r="C21" s="5" t="s">
        <v>12</v>
      </c>
      <c r="D21" s="5" t="s">
        <v>13</v>
      </c>
      <c r="E21" s="5" t="s">
        <v>14</v>
      </c>
      <c r="F21" s="36" t="s">
        <v>23</v>
      </c>
      <c r="G21" s="40"/>
      <c r="H21" s="36"/>
      <c r="I21" s="36"/>
    </row>
    <row r="22" spans="1:10" ht="25.5" customHeight="1" x14ac:dyDescent="0.25">
      <c r="A22" s="36"/>
      <c r="B22" s="36"/>
      <c r="C22" s="9" t="s">
        <v>36</v>
      </c>
      <c r="D22" s="9" t="s">
        <v>30</v>
      </c>
      <c r="E22" s="9" t="s">
        <v>31</v>
      </c>
      <c r="F22" s="36"/>
      <c r="G22" s="40"/>
      <c r="H22" s="36"/>
      <c r="I22" s="36"/>
    </row>
    <row r="23" spans="1:10" ht="150.75" customHeight="1" x14ac:dyDescent="0.25">
      <c r="A23" s="36"/>
      <c r="B23" s="39"/>
      <c r="C23" s="39" t="s">
        <v>37</v>
      </c>
      <c r="D23" s="39"/>
      <c r="E23" s="39"/>
      <c r="F23" s="39"/>
      <c r="G23" s="41"/>
      <c r="H23" s="39"/>
      <c r="I23" s="36"/>
    </row>
    <row r="24" spans="1:10" ht="88.5" customHeight="1" x14ac:dyDescent="0.25">
      <c r="A24" s="17">
        <v>1</v>
      </c>
      <c r="B24" s="21" t="s">
        <v>34</v>
      </c>
      <c r="C24" s="20">
        <v>9.81</v>
      </c>
      <c r="D24" s="18">
        <v>10.5</v>
      </c>
      <c r="E24" s="18">
        <v>10.32</v>
      </c>
      <c r="F24" s="18">
        <f>(C24+D24+E24)/3</f>
        <v>10.210000000000001</v>
      </c>
      <c r="G24" s="20">
        <v>9.09</v>
      </c>
      <c r="H24" s="22">
        <v>12950000</v>
      </c>
      <c r="I24" s="16">
        <f>G24*H24</f>
        <v>117715500</v>
      </c>
    </row>
    <row r="25" spans="1:10" s="3" customFormat="1" ht="42" customHeight="1" x14ac:dyDescent="0.25">
      <c r="A25" s="43" t="s">
        <v>19</v>
      </c>
      <c r="B25" s="43"/>
      <c r="C25" s="24"/>
      <c r="D25" s="24"/>
      <c r="E25" s="24"/>
      <c r="F25" s="24"/>
      <c r="G25" s="24"/>
      <c r="H25" s="25">
        <f>SUM(H24:H24)</f>
        <v>12950000</v>
      </c>
      <c r="I25" s="26">
        <f>SUM(I24:I24)</f>
        <v>117715500</v>
      </c>
      <c r="J25" s="10"/>
    </row>
    <row r="26" spans="1:10" s="3" customFormat="1" ht="42" customHeight="1" x14ac:dyDescent="0.25">
      <c r="A26" s="27" t="s">
        <v>39</v>
      </c>
      <c r="B26" s="28"/>
      <c r="C26" s="24"/>
      <c r="D26" s="24"/>
      <c r="E26" s="24"/>
      <c r="F26" s="24"/>
      <c r="G26" s="24"/>
      <c r="H26" s="25"/>
      <c r="I26" s="26">
        <v>21227385.25</v>
      </c>
      <c r="J26" s="10"/>
    </row>
    <row r="27" spans="1:10" s="3" customFormat="1" ht="51.75" customHeight="1" x14ac:dyDescent="0.25">
      <c r="A27" s="11"/>
      <c r="B27" s="19" t="s">
        <v>33</v>
      </c>
      <c r="C27" s="23"/>
      <c r="D27" s="12"/>
      <c r="E27" s="12"/>
      <c r="F27" s="12"/>
      <c r="G27" s="12"/>
      <c r="H27" s="13"/>
      <c r="I27" s="13"/>
      <c r="J27" s="10"/>
    </row>
    <row r="28" spans="1:10" s="3" customFormat="1" ht="42" customHeight="1" x14ac:dyDescent="0.25">
      <c r="A28" s="11"/>
      <c r="B28" s="14" t="s">
        <v>21</v>
      </c>
      <c r="C28" s="15">
        <v>46213</v>
      </c>
      <c r="D28" s="15">
        <v>46223</v>
      </c>
      <c r="E28" s="15">
        <v>46231</v>
      </c>
      <c r="F28" s="12"/>
      <c r="G28" s="12"/>
      <c r="H28" s="13"/>
      <c r="I28" s="13"/>
      <c r="J28" s="10"/>
    </row>
    <row r="29" spans="1:10" ht="56.25" customHeight="1" x14ac:dyDescent="0.25">
      <c r="A29" s="4"/>
      <c r="B29" s="14" t="s">
        <v>22</v>
      </c>
      <c r="C29" s="15">
        <v>46387</v>
      </c>
      <c r="D29" s="15">
        <v>46387</v>
      </c>
      <c r="E29" s="15">
        <v>46387</v>
      </c>
      <c r="F29" s="4"/>
      <c r="G29" s="4"/>
      <c r="H29" s="4"/>
      <c r="I29" s="4"/>
    </row>
  </sheetData>
  <mergeCells count="32">
    <mergeCell ref="A1:I1"/>
    <mergeCell ref="A25:B25"/>
    <mergeCell ref="A2:I2"/>
    <mergeCell ref="A3:I3"/>
    <mergeCell ref="A18:I18"/>
    <mergeCell ref="A11:I11"/>
    <mergeCell ref="A12:I12"/>
    <mergeCell ref="D5:I5"/>
    <mergeCell ref="D6:I6"/>
    <mergeCell ref="A5:C5"/>
    <mergeCell ref="A6:C6"/>
    <mergeCell ref="A7:C7"/>
    <mergeCell ref="A8:C8"/>
    <mergeCell ref="D7:I7"/>
    <mergeCell ref="D8:I8"/>
    <mergeCell ref="D9:I9"/>
    <mergeCell ref="A26:B26"/>
    <mergeCell ref="G14:I14"/>
    <mergeCell ref="G15:I15"/>
    <mergeCell ref="G16:I16"/>
    <mergeCell ref="A9:C9"/>
    <mergeCell ref="A20:A23"/>
    <mergeCell ref="B20:F20"/>
    <mergeCell ref="E16:F16"/>
    <mergeCell ref="E14:F14"/>
    <mergeCell ref="B21:B23"/>
    <mergeCell ref="H20:H23"/>
    <mergeCell ref="I20:I23"/>
    <mergeCell ref="C23:E23"/>
    <mergeCell ref="F21:F23"/>
    <mergeCell ref="E15:F15"/>
    <mergeCell ref="G20:G2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32" orientation="portrait" r:id="rId1"/>
  <headerFooter>
    <oddFooter>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Андреевичева Наталья Владимировна</dc:creator>
  <cp:lastModifiedBy>Логвина Альбина Искандаровна</cp:lastModifiedBy>
  <cp:lastPrinted>2022-09-12T06:03:45Z</cp:lastPrinted>
  <dcterms:created xsi:type="dcterms:W3CDTF">2015-04-07T07:25:40Z</dcterms:created>
  <dcterms:modified xsi:type="dcterms:W3CDTF">2026-08-21T08:38:53Z</dcterms:modified>
</cp:coreProperties>
</file>