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n.mamaev\Desktop\Расчет стоимости по договорам\Торги\К-н-А\"/>
    </mc:Choice>
  </mc:AlternateContent>
  <xr:revisionPtr revIDLastSave="0" documentId="13_ncr:1_{A0F06EE3-44A4-4B5B-A6EC-E53E0F6B03CC}" xr6:coauthVersionLast="47" xr6:coauthVersionMax="47" xr10:uidLastSave="{00000000-0000-0000-0000-000000000000}"/>
  <bookViews>
    <workbookView xWindow="-120" yWindow="-120" windowWidth="29040" windowHeight="15840" xr2:uid="{00000000-000D-0000-FFFF-FFFF00000000}"/>
  </bookViews>
  <sheets>
    <sheet name="Объем ОЦО" sheetId="2" r:id="rId1"/>
    <sheet name="По процессам" sheetId="3" r:id="rId2"/>
  </sheets>
  <externalReferences>
    <externalReference r:id="rId3"/>
  </externalReferences>
  <definedNames>
    <definedName name="_xlnm._FilterDatabase" localSheetId="0" hidden="1">'Объем ОЦО'!$A$6:$CO$18</definedName>
    <definedName name="Лизинг" localSheetId="0">'Объем ОЦО'!#REF!</definedName>
    <definedName name="Лизинг">#REF!</definedName>
    <definedName name="_xlnm.Print_Area" localSheetId="0">'Объем ОЦО'!$A$4:$E$18</definedName>
    <definedName name="СТАВКА_НДС">[1]СТАВКА_НДС!$A$2:$A$6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4" i="3" l="1"/>
  <c r="F62" i="3"/>
  <c r="F60" i="3"/>
  <c r="F59" i="3"/>
  <c r="F58" i="3"/>
  <c r="F57" i="3"/>
  <c r="F55" i="3"/>
  <c r="F54" i="3"/>
  <c r="F53" i="3"/>
  <c r="F51" i="3"/>
  <c r="F50" i="3"/>
  <c r="F40" i="3"/>
  <c r="F38" i="3"/>
  <c r="F37" i="3"/>
  <c r="F36" i="3"/>
  <c r="F9" i="3"/>
  <c r="F35" i="3"/>
  <c r="F32" i="3"/>
  <c r="F31" i="3"/>
  <c r="F29" i="3"/>
  <c r="F28" i="3"/>
  <c r="F27" i="3"/>
  <c r="F26" i="3"/>
  <c r="F24" i="3"/>
  <c r="F23" i="3"/>
  <c r="F22" i="3"/>
  <c r="F20" i="3"/>
  <c r="F66" i="3"/>
  <c r="F19" i="3"/>
  <c r="F17" i="3"/>
  <c r="F16" i="3"/>
  <c r="F15" i="3"/>
  <c r="F14" i="3"/>
  <c r="F13" i="3"/>
  <c r="F10" i="3"/>
  <c r="F8" i="3"/>
  <c r="F48" i="3" l="1"/>
  <c r="F33" i="3"/>
</calcChain>
</file>

<file path=xl/sharedStrings.xml><?xml version="1.0" encoding="utf-8"?>
<sst xmlns="http://schemas.openxmlformats.org/spreadsheetml/2006/main" count="220" uniqueCount="100">
  <si>
    <t>Приложение 2.1 к Документации о закупке</t>
  </si>
  <si>
    <t>№</t>
  </si>
  <si>
    <t>Наименование услуги</t>
  </si>
  <si>
    <t>Объемный показатель процесса</t>
  </si>
  <si>
    <t>Единица измерения драйвера</t>
  </si>
  <si>
    <t>Метод подсчета объема драйвера</t>
  </si>
  <si>
    <r>
      <t>Объем драйвера в месяц</t>
    </r>
    <r>
      <rPr>
        <b/>
        <vertAlign val="superscript"/>
        <sz val="12"/>
        <color theme="0"/>
        <rFont val="Arial"/>
        <family val="2"/>
        <charset val="204"/>
      </rPr>
      <t xml:space="preserve">, </t>
    </r>
  </si>
  <si>
    <r>
      <t>Единица драйвера</t>
    </r>
    <r>
      <rPr>
        <b/>
        <vertAlign val="superscript"/>
        <sz val="12"/>
        <color theme="0"/>
        <rFont val="Arial"/>
        <family val="2"/>
        <charset val="204"/>
      </rPr>
      <t>1</t>
    </r>
  </si>
  <si>
    <r>
      <t>Метод подсчета объема драйвера</t>
    </r>
    <r>
      <rPr>
        <b/>
        <vertAlign val="superscript"/>
        <sz val="12"/>
        <color theme="0"/>
        <rFont val="Arial"/>
        <family val="2"/>
        <charset val="204"/>
      </rPr>
      <t>2</t>
    </r>
  </si>
  <si>
    <t>ООО «5Я ВКК»</t>
  </si>
  <si>
    <t>Оказание услуг по учету основных средств, незавершенного строительства и нематериальных активов</t>
  </si>
  <si>
    <t xml:space="preserve">Количество объектов основных средств и незавершенного строительства собственных, концессионных, в аренде, лизинге, нематериальных активов </t>
  </si>
  <si>
    <t>Шт.</t>
  </si>
  <si>
    <t>Количество на конец отчетного месяца</t>
  </si>
  <si>
    <t>Оказание услуг по учету товарно-материальных ценностей</t>
  </si>
  <si>
    <t>Количество документов по движению ТМЦ</t>
  </si>
  <si>
    <t>Количество за месяц</t>
  </si>
  <si>
    <t>Оказание услуг по учету финансовых и банковских операций</t>
  </si>
  <si>
    <t>Количество платежных поручений входящих и исходящих</t>
  </si>
  <si>
    <t>Оказание услуг по учету расчетов с покупателями по реализации услуг по нетарифной деятельности</t>
  </si>
  <si>
    <t xml:space="preserve">Количество документов по реализации (кроме ВиВ) </t>
  </si>
  <si>
    <t>Оказание услуг по учету расчетов с покупателями по реализации услуг по водоснабжению и водоотведению, ПДК, негативное воздействие на сети</t>
  </si>
  <si>
    <t xml:space="preserve">Количество документов по реализации ВиВ (Акт об оказании производственных услуг) </t>
  </si>
  <si>
    <t>Оказание услуг по учету расчетов с поставщиками и подрядчиками</t>
  </si>
  <si>
    <t xml:space="preserve">Количество документов поступления товаров и услуг </t>
  </si>
  <si>
    <t>Оказание услуг по учету расчетов с персоналом по штатным сотрудникам</t>
  </si>
  <si>
    <t>Численность персонала компании (без учета сотрудников, работающих в обособленных подразделениях)</t>
  </si>
  <si>
    <t>Чел.</t>
  </si>
  <si>
    <t>Оказание услуг по учету расчетов с физическими лицами, работающими по договорам ГПХ</t>
  </si>
  <si>
    <t>Численность физических лиц, работающих по договору ГПХ</t>
  </si>
  <si>
    <t>Оказание услуг по учету расчетов с персоналом по штатным сотрудникам, работающим в обособленных подразделениях</t>
  </si>
  <si>
    <t>Численность сотрудников, работающих в обособленных подразделениях</t>
  </si>
  <si>
    <t>Оказание услуг по учету расчетов с подотчетными лицами</t>
  </si>
  <si>
    <t>Количество авансовых отчетов</t>
  </si>
  <si>
    <r>
      <t>Оказание услуг по формированию бухгалтерской и налоговой отчетности, методологическому сопровождению бухгалтерского учета</t>
    </r>
    <r>
      <rPr>
        <b/>
        <vertAlign val="superscript"/>
        <sz val="11"/>
        <rFont val="Arial"/>
        <family val="2"/>
        <charset val="204"/>
      </rPr>
      <t>3</t>
    </r>
  </si>
  <si>
    <t>Количество драйверов по п.п. 1-10 * 25%</t>
  </si>
  <si>
    <t>%</t>
  </si>
  <si>
    <t>Сопровождение процессов взаимодействия ОЦО и Клиента</t>
  </si>
  <si>
    <t>Количество драйверов по п.п. 1-10</t>
  </si>
  <si>
    <t>Ед. изм.</t>
  </si>
  <si>
    <t>Период</t>
  </si>
  <si>
    <r>
      <rPr>
        <b/>
        <sz val="11"/>
        <color theme="0"/>
        <rFont val="Arial"/>
        <family val="2"/>
        <charset val="204"/>
      </rPr>
      <t>Итоговое количество</t>
    </r>
    <r>
      <rPr>
        <b/>
        <vertAlign val="superscript"/>
        <sz val="11"/>
        <color theme="0"/>
        <rFont val="Arial"/>
        <family val="2"/>
        <charset val="204"/>
      </rPr>
      <t>1</t>
    </r>
  </si>
  <si>
    <t>Общая информация</t>
  </si>
  <si>
    <t>Количество предприятий на обслуживании</t>
  </si>
  <si>
    <t>шт.</t>
  </si>
  <si>
    <t>-</t>
  </si>
  <si>
    <t>Численность персонала компании c учетом договоров ГПХ</t>
  </si>
  <si>
    <t>чел.</t>
  </si>
  <si>
    <t>в мес.</t>
  </si>
  <si>
    <t>Количество обособленных подразделений предприятия</t>
  </si>
  <si>
    <t>Объем услуг по бухгалтерскому и налоговому учету</t>
  </si>
  <si>
    <t>Учет основных средств, незавершенного строительства и нематериальных активов</t>
  </si>
  <si>
    <r>
      <t>Количество объектов основных средств</t>
    </r>
    <r>
      <rPr>
        <sz val="11"/>
        <rFont val="Arial"/>
        <family val="2"/>
        <charset val="204"/>
      </rPr>
      <t xml:space="preserve"> и незавершенного строительства собственных, концессионных, в аренде, лизинге</t>
    </r>
  </si>
  <si>
    <t>Количество договоров аренды имущества, земли,сервитутов с муниципальными органами</t>
  </si>
  <si>
    <t>в том числе количество договоров аренды, учитываемых в качеств прав пользования активов</t>
  </si>
  <si>
    <t>Количество форм МСФО по участку учета</t>
  </si>
  <si>
    <t>в год</t>
  </si>
  <si>
    <t>Количество формируемых отчетов для сдачи в органы статистики по участку учета</t>
  </si>
  <si>
    <t>Учет товарно-материальных ценностей</t>
  </si>
  <si>
    <t>Учет финансовых и банковских операций</t>
  </si>
  <si>
    <t>Учет расчетов с покупателями</t>
  </si>
  <si>
    <t>Количество документов по реализации ВиВ (Акт об оказании производственных услуг)</t>
  </si>
  <si>
    <t xml:space="preserve"> В том числе, количество общих форм МСФО по участку учета расчетов с покупателями и участку учета расчетов с поставщиками</t>
  </si>
  <si>
    <t>Учет расчетов с поставщиками</t>
  </si>
  <si>
    <t>Количество документов поступления товаров и услуг</t>
  </si>
  <si>
    <t>Учет расчетов с персоналом</t>
  </si>
  <si>
    <t>Численность персонала компании (штатные сотрудники)</t>
  </si>
  <si>
    <t>Численность сотрудников, работающих по ГПХ</t>
  </si>
  <si>
    <t>Учет расчетов с подотчетными лицами</t>
  </si>
  <si>
    <t>Закрытие периода и формирование отчетности</t>
  </si>
  <si>
    <t>Срок ежемесячного закрытия периода</t>
  </si>
  <si>
    <t>р.д.</t>
  </si>
  <si>
    <t>Срок ежегодного закрытия периода</t>
  </si>
  <si>
    <t>Срок ежемесячного формирования финансовой отчетности по стандартам РСБУ</t>
  </si>
  <si>
    <t>Срок ежегодного формирования финансовой отчетности по стандартам РСБУ</t>
  </si>
  <si>
    <t>Срок ежемесячной трансляции проводок бухгалтерского учета, сформированных на счета РСБУ на счета МСФО</t>
  </si>
  <si>
    <t>Срок ежеквартального составления отчетных форм для целей составления отчетности МСФО</t>
  </si>
  <si>
    <t>Количество формируемых отчетов для составления МСФО отчетности</t>
  </si>
  <si>
    <t>Срок ежеквартального формирования отчетности для кредитных организаций</t>
  </si>
  <si>
    <t>Количество формируемых отчетов для кредитных организаций</t>
  </si>
  <si>
    <t>Количество формируемых отчетов для сдачи в органы статистики (помимо форм по отдельным участкам учета)</t>
  </si>
  <si>
    <t xml:space="preserve">Срок получения аудиторских заключений по крупным компаниям </t>
  </si>
  <si>
    <t>до 15 марта года следующего за отчетным</t>
  </si>
  <si>
    <t>Этапов проверки аудита РСБУ в год</t>
  </si>
  <si>
    <t>Этапов проверки аудита МСФО в год</t>
  </si>
  <si>
    <t>Балансовые комиссии в год</t>
  </si>
  <si>
    <t>Налоговый учет и отчетность</t>
  </si>
  <si>
    <t>Количество типов начисляемых налогов  (без учета зарплатных налогов)</t>
  </si>
  <si>
    <t>Количество формируемых налоговых деклараций/отчетов (без учета зарплатных налогов)</t>
  </si>
  <si>
    <t>Количество обработанных налоговых требований</t>
  </si>
  <si>
    <t>Количество согласованных договоров</t>
  </si>
  <si>
    <t>Оказание методологической поддержки</t>
  </si>
  <si>
    <t>Количество заявок на оказание методологической поддержки</t>
  </si>
  <si>
    <t>Обработка запросов, поступающих через ИТ-систему</t>
  </si>
  <si>
    <t>Количество запросов, поступающих на обработку из ITSM</t>
  </si>
  <si>
    <t>Обработка входящей и исходящей документации (фронт-офис)</t>
  </si>
  <si>
    <t>Количество пакетов первичных документов, поступивших на обработку</t>
  </si>
  <si>
    <r>
      <rPr>
        <i/>
        <vertAlign val="superscript"/>
        <sz val="11"/>
        <rFont val="Arial"/>
        <family val="2"/>
        <charset val="204"/>
      </rPr>
      <t>1</t>
    </r>
    <r>
      <rPr>
        <i/>
        <sz val="11"/>
        <rFont val="Arial"/>
        <family val="2"/>
        <charset val="204"/>
      </rPr>
      <t>В таблице указаны данные по объемным показателям процесса за месяц или год по всем процессам,  для формирования объема за год необходимо умножить значение за месяц на 12. (см. графа Период)
Предполагается, что в 2027 году показатели останутся на том же уровне.</t>
    </r>
  </si>
  <si>
    <t>ООО «РВК-КОМСОМОЛЬСК»</t>
  </si>
  <si>
    <t>ООО «РВК-Комсомольск»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</si>
</sst>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 ##0"/>
  </numFmts>
  <fonts count="25" x14ac:knownFonts="1">
    <font>
      <sz val="11"/>
      <color theme="1"/>
      <name val="Calibri"/>
      <family val="2"/>
      <scheme val="minor"/>
    </font>
    <font>
      <sz val="11"/>
      <color theme="1"/>
      <name val="Calibri"/>
      <family val="2"/>
      <charset val="204"/>
      <scheme val="minor"/>
    </font>
    <font>
      <sz val="11"/>
      <color theme="1"/>
      <name val="Calibri"/>
      <family val="2"/>
      <scheme val="minor"/>
    </font>
    <font>
      <sz val="10"/>
      <name val="Arial Cyr"/>
      <family val="2"/>
      <charset val="204"/>
    </font>
    <font>
      <sz val="12"/>
      <name val="Times New Roman"/>
      <family val="1"/>
      <charset val="204"/>
    </font>
    <font>
      <b/>
      <sz val="12"/>
      <name val="Times New Roman"/>
      <family val="1"/>
      <charset val="204"/>
    </font>
    <font>
      <sz val="10"/>
      <name val="Arial Cyr"/>
      <charset val="204"/>
    </font>
    <font>
      <b/>
      <sz val="12"/>
      <color theme="0"/>
      <name val="Arial"/>
      <family val="2"/>
      <charset val="204"/>
    </font>
    <font>
      <b/>
      <vertAlign val="superscript"/>
      <sz val="12"/>
      <color theme="0"/>
      <name val="Arial"/>
      <family val="2"/>
      <charset val="204"/>
    </font>
    <font>
      <b/>
      <sz val="11"/>
      <name val="Arial"/>
      <family val="2"/>
      <charset val="204"/>
    </font>
    <font>
      <sz val="11"/>
      <name val="Arial"/>
      <family val="2"/>
      <charset val="204"/>
    </font>
    <font>
      <b/>
      <vertAlign val="superscript"/>
      <sz val="11"/>
      <name val="Arial"/>
      <family val="2"/>
      <charset val="204"/>
    </font>
    <font>
      <b/>
      <sz val="11"/>
      <color theme="1"/>
      <name val="Arial"/>
      <family val="2"/>
      <charset val="204"/>
    </font>
    <font>
      <sz val="11"/>
      <color theme="1"/>
      <name val="Arial"/>
      <family val="2"/>
      <charset val="204"/>
    </font>
    <font>
      <sz val="12"/>
      <color theme="1"/>
      <name val="Times New Roman"/>
      <family val="1"/>
      <charset val="204"/>
    </font>
    <font>
      <i/>
      <sz val="11"/>
      <name val="Arial"/>
      <family val="2"/>
      <charset val="204"/>
    </font>
    <font>
      <b/>
      <sz val="10"/>
      <color rgb="FF646464"/>
      <name val="Arial"/>
      <family val="2"/>
      <charset val="204"/>
    </font>
    <font>
      <sz val="10"/>
      <color theme="1"/>
      <name val="Calibri"/>
      <family val="2"/>
      <charset val="204"/>
      <scheme val="minor"/>
    </font>
    <font>
      <b/>
      <sz val="10"/>
      <name val="Arial"/>
      <family val="2"/>
      <charset val="204"/>
    </font>
    <font>
      <b/>
      <sz val="11"/>
      <color theme="0"/>
      <name val="Arial"/>
      <family val="2"/>
      <charset val="204"/>
    </font>
    <font>
      <b/>
      <vertAlign val="superscript"/>
      <sz val="11"/>
      <color theme="0"/>
      <name val="Arial"/>
      <family val="2"/>
      <charset val="204"/>
    </font>
    <font>
      <sz val="11"/>
      <name val="Calibri"/>
      <family val="2"/>
      <charset val="204"/>
      <scheme val="minor"/>
    </font>
    <font>
      <b/>
      <i/>
      <sz val="11"/>
      <name val="Arial"/>
      <family val="2"/>
      <charset val="204"/>
    </font>
    <font>
      <i/>
      <sz val="11"/>
      <color rgb="FF646464"/>
      <name val="Arial"/>
      <family val="2"/>
      <charset val="204"/>
    </font>
    <font>
      <i/>
      <vertAlign val="superscript"/>
      <sz val="11"/>
      <name val="Arial"/>
      <family val="2"/>
      <charset val="204"/>
    </font>
  </fonts>
  <fills count="7">
    <fill>
      <patternFill patternType="none"/>
    </fill>
    <fill>
      <patternFill patternType="gray125"/>
    </fill>
    <fill>
      <patternFill patternType="solid">
        <fgColor theme="8"/>
        <bgColor indexed="64"/>
      </patternFill>
    </fill>
    <fill>
      <patternFill patternType="solid">
        <fgColor theme="0" tint="-4.9989318521683403E-2"/>
        <bgColor indexed="64"/>
      </patternFill>
    </fill>
    <fill>
      <patternFill patternType="solid">
        <fgColor theme="0"/>
        <bgColor indexed="64"/>
      </patternFill>
    </fill>
    <fill>
      <patternFill patternType="solid">
        <fgColor rgb="FF30AFCF"/>
        <bgColor indexed="64"/>
      </patternFill>
    </fill>
    <fill>
      <patternFill patternType="solid">
        <fgColor theme="0"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hair">
        <color auto="1"/>
      </right>
      <top style="thin">
        <color auto="1"/>
      </top>
      <bottom/>
      <diagonal/>
    </border>
    <border>
      <left style="hair">
        <color auto="1"/>
      </left>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thin">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hair">
        <color auto="1"/>
      </top>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right/>
      <top style="hair">
        <color auto="1"/>
      </top>
      <bottom/>
      <diagonal/>
    </border>
  </borders>
  <cellStyleXfs count="9">
    <xf numFmtId="0" fontId="0" fillId="0" borderId="0"/>
    <xf numFmtId="0" fontId="3" fillId="0" borderId="0"/>
    <xf numFmtId="0" fontId="6" fillId="0" borderId="0"/>
    <xf numFmtId="0" fontId="2" fillId="0" borderId="0"/>
    <xf numFmtId="0" fontId="1" fillId="0" borderId="0"/>
    <xf numFmtId="43" fontId="2" fillId="0" borderId="0" applyFont="0" applyFill="0" applyBorder="0" applyAlignment="0" applyProtection="0"/>
    <xf numFmtId="43" fontId="2" fillId="0" borderId="0" applyFont="0" applyFill="0" applyBorder="0" applyAlignment="0" applyProtection="0"/>
    <xf numFmtId="0" fontId="1" fillId="0" borderId="0"/>
    <xf numFmtId="0" fontId="1" fillId="0" borderId="0"/>
  </cellStyleXfs>
  <cellXfs count="83">
    <xf numFmtId="0" fontId="0" fillId="0" borderId="0" xfId="0"/>
    <xf numFmtId="0" fontId="4" fillId="0" borderId="0" xfId="1" applyFont="1"/>
    <xf numFmtId="0" fontId="4" fillId="0" borderId="0" xfId="1" applyFont="1" applyAlignment="1">
      <alignment horizontal="left" vertical="center"/>
    </xf>
    <xf numFmtId="0" fontId="5" fillId="0" borderId="0" xfId="1" applyFont="1" applyAlignment="1">
      <alignment wrapText="1"/>
    </xf>
    <xf numFmtId="0" fontId="4" fillId="0" borderId="0" xfId="2" applyFont="1" applyAlignment="1">
      <alignment wrapText="1"/>
    </xf>
    <xf numFmtId="0" fontId="7" fillId="2" borderId="1" xfId="3" applyFont="1" applyFill="1" applyBorder="1" applyAlignment="1">
      <alignment horizontal="center" vertical="center" wrapText="1"/>
    </xf>
    <xf numFmtId="0" fontId="5" fillId="0" borderId="0" xfId="1" applyFont="1" applyAlignment="1">
      <alignment horizontal="center" wrapText="1"/>
    </xf>
    <xf numFmtId="0" fontId="9" fillId="3" borderId="1" xfId="4" applyFont="1" applyFill="1" applyBorder="1" applyAlignment="1">
      <alignment horizontal="centerContinuous" vertical="center"/>
    </xf>
    <xf numFmtId="0" fontId="9" fillId="3" borderId="1" xfId="3" applyFont="1" applyFill="1" applyBorder="1" applyAlignment="1">
      <alignment vertical="center" wrapText="1"/>
    </xf>
    <xf numFmtId="0" fontId="10" fillId="3" borderId="1" xfId="3" applyFont="1" applyFill="1" applyBorder="1" applyAlignment="1">
      <alignment horizontal="center" vertical="center" wrapText="1"/>
    </xf>
    <xf numFmtId="0" fontId="10" fillId="3" borderId="1" xfId="4" applyFont="1" applyFill="1" applyBorder="1" applyAlignment="1">
      <alignment horizontal="center" vertical="center" wrapText="1"/>
    </xf>
    <xf numFmtId="164" fontId="10" fillId="4" borderId="1" xfId="5" applyNumberFormat="1" applyFont="1" applyFill="1" applyBorder="1" applyAlignment="1">
      <alignment horizontal="center" vertical="center" wrapText="1"/>
    </xf>
    <xf numFmtId="0" fontId="9" fillId="3" borderId="1" xfId="4" applyFont="1" applyFill="1" applyBorder="1" applyAlignment="1">
      <alignment horizontal="left" vertical="center" wrapText="1"/>
    </xf>
    <xf numFmtId="0" fontId="9" fillId="3" borderId="1" xfId="4" applyFont="1" applyFill="1" applyBorder="1" applyAlignment="1">
      <alignment vertical="center" wrapText="1"/>
    </xf>
    <xf numFmtId="164" fontId="10" fillId="4" borderId="1" xfId="5" applyNumberFormat="1" applyFont="1" applyFill="1" applyBorder="1" applyAlignment="1" applyProtection="1">
      <alignment horizontal="center" vertical="center" wrapText="1"/>
      <protection locked="0"/>
    </xf>
    <xf numFmtId="164" fontId="10" fillId="0" borderId="1" xfId="6" applyNumberFormat="1" applyFont="1" applyFill="1" applyBorder="1" applyAlignment="1">
      <alignment horizontal="center" vertical="center"/>
    </xf>
    <xf numFmtId="0" fontId="12" fillId="3" borderId="1" xfId="4" applyFont="1" applyFill="1" applyBorder="1" applyAlignment="1">
      <alignment horizontal="centerContinuous" vertical="center"/>
    </xf>
    <xf numFmtId="0" fontId="12" fillId="3" borderId="1" xfId="4" applyFont="1" applyFill="1" applyBorder="1" applyAlignment="1">
      <alignment horizontal="left" vertical="center" wrapText="1"/>
    </xf>
    <xf numFmtId="0" fontId="13" fillId="3" borderId="1" xfId="4" applyFont="1" applyFill="1" applyBorder="1" applyAlignment="1">
      <alignment horizontal="center" vertical="center" wrapText="1"/>
    </xf>
    <xf numFmtId="164" fontId="13" fillId="0" borderId="1" xfId="6" applyNumberFormat="1" applyFont="1" applyFill="1" applyBorder="1" applyAlignment="1">
      <alignment horizontal="center" vertical="center"/>
    </xf>
    <xf numFmtId="0" fontId="14" fillId="0" borderId="0" xfId="2" applyFont="1" applyAlignment="1">
      <alignment wrapText="1"/>
    </xf>
    <xf numFmtId="0" fontId="15" fillId="4" borderId="0" xfId="4" applyFont="1" applyFill="1" applyAlignment="1">
      <alignment horizontal="left" vertical="center" wrapText="1"/>
    </xf>
    <xf numFmtId="0" fontId="13" fillId="0" borderId="0" xfId="7" applyFont="1" applyAlignment="1">
      <alignment vertical="center"/>
    </xf>
    <xf numFmtId="0" fontId="1" fillId="0" borderId="0" xfId="8"/>
    <xf numFmtId="0" fontId="16" fillId="0" borderId="0" xfId="8" applyFont="1" applyAlignment="1">
      <alignment horizontal="left" vertical="center" wrapText="1"/>
    </xf>
    <xf numFmtId="0" fontId="17" fillId="0" borderId="0" xfId="8" applyFont="1"/>
    <xf numFmtId="0" fontId="18" fillId="0" borderId="0" xfId="8" applyFont="1" applyAlignment="1">
      <alignment horizontal="left" vertical="center" wrapText="1"/>
    </xf>
    <xf numFmtId="0" fontId="10" fillId="6" borderId="14" xfId="7" applyFont="1" applyFill="1" applyBorder="1" applyAlignment="1">
      <alignment horizontal="centerContinuous" vertical="center"/>
    </xf>
    <xf numFmtId="0" fontId="9" fillId="6" borderId="15" xfId="8" applyFont="1" applyFill="1" applyBorder="1" applyAlignment="1">
      <alignment vertical="center"/>
    </xf>
    <xf numFmtId="0" fontId="9" fillId="6" borderId="16" xfId="7" applyFont="1" applyFill="1" applyBorder="1" applyAlignment="1">
      <alignment horizontal="centerContinuous" vertical="center" wrapText="1"/>
    </xf>
    <xf numFmtId="0" fontId="9" fillId="6" borderId="17" xfId="7" applyFont="1" applyFill="1" applyBorder="1" applyAlignment="1">
      <alignment horizontal="centerContinuous" vertical="center" wrapText="1"/>
    </xf>
    <xf numFmtId="0" fontId="1" fillId="6" borderId="18" xfId="8" applyFill="1" applyBorder="1"/>
    <xf numFmtId="0" fontId="10" fillId="0" borderId="14" xfId="7" applyFont="1" applyBorder="1" applyAlignment="1">
      <alignment horizontal="center" vertical="center"/>
    </xf>
    <xf numFmtId="0" fontId="10" fillId="0" borderId="15" xfId="7" applyFont="1" applyBorder="1" applyAlignment="1">
      <alignment vertical="center" wrapText="1"/>
    </xf>
    <xf numFmtId="0" fontId="10" fillId="0" borderId="16" xfId="7" applyFont="1" applyBorder="1" applyAlignment="1">
      <alignment horizontal="center" vertical="center" wrapText="1"/>
    </xf>
    <xf numFmtId="0" fontId="10" fillId="0" borderId="17" xfId="7" applyFont="1" applyBorder="1" applyAlignment="1">
      <alignment horizontal="center" vertical="center" wrapText="1"/>
    </xf>
    <xf numFmtId="165" fontId="10" fillId="0" borderId="19" xfId="7" applyNumberFormat="1" applyFont="1" applyBorder="1" applyAlignment="1">
      <alignment horizontal="center" vertical="center" wrapText="1"/>
    </xf>
    <xf numFmtId="0" fontId="10" fillId="6" borderId="14" xfId="7" applyFont="1" applyFill="1" applyBorder="1" applyAlignment="1">
      <alignment horizontal="center" vertical="center"/>
    </xf>
    <xf numFmtId="0" fontId="10" fillId="6" borderId="16" xfId="7" applyFont="1" applyFill="1" applyBorder="1" applyAlignment="1">
      <alignment horizontal="center" vertical="center" wrapText="1"/>
    </xf>
    <xf numFmtId="0" fontId="10" fillId="6" borderId="17" xfId="7" applyFont="1" applyFill="1" applyBorder="1" applyAlignment="1">
      <alignment horizontal="center" vertical="center" wrapText="1"/>
    </xf>
    <xf numFmtId="165" fontId="10" fillId="6" borderId="18" xfId="7" applyNumberFormat="1" applyFont="1" applyFill="1" applyBorder="1" applyAlignment="1">
      <alignment horizontal="center" vertical="center" wrapText="1"/>
    </xf>
    <xf numFmtId="0" fontId="10" fillId="3" borderId="14" xfId="7" applyFont="1" applyFill="1" applyBorder="1" applyAlignment="1">
      <alignment horizontal="centerContinuous" vertical="center"/>
    </xf>
    <xf numFmtId="0" fontId="9" fillId="3" borderId="15" xfId="8" applyFont="1" applyFill="1" applyBorder="1" applyAlignment="1">
      <alignment vertical="center"/>
    </xf>
    <xf numFmtId="0" fontId="9" fillId="3" borderId="16" xfId="7" applyFont="1" applyFill="1" applyBorder="1" applyAlignment="1">
      <alignment horizontal="centerContinuous" vertical="center" wrapText="1"/>
    </xf>
    <xf numFmtId="0" fontId="9" fillId="3" borderId="17" xfId="7" applyFont="1" applyFill="1" applyBorder="1" applyAlignment="1">
      <alignment horizontal="centerContinuous" vertical="center" wrapText="1"/>
    </xf>
    <xf numFmtId="0" fontId="1" fillId="3" borderId="18" xfId="8" applyFill="1" applyBorder="1"/>
    <xf numFmtId="0" fontId="21" fillId="0" borderId="0" xfId="8" applyFont="1"/>
    <xf numFmtId="0" fontId="10" fillId="0" borderId="15" xfId="7" applyFont="1" applyBorder="1" applyAlignment="1">
      <alignment horizontal="left" vertical="center" wrapText="1" indent="2"/>
    </xf>
    <xf numFmtId="0" fontId="10" fillId="3" borderId="14" xfId="7" applyFont="1" applyFill="1" applyBorder="1" applyAlignment="1">
      <alignment horizontal="center" vertical="center"/>
    </xf>
    <xf numFmtId="0" fontId="9" fillId="3" borderId="15" xfId="7" applyFont="1" applyFill="1" applyBorder="1" applyAlignment="1">
      <alignment horizontal="left" vertical="center"/>
    </xf>
    <xf numFmtId="0" fontId="9" fillId="3" borderId="16" xfId="7" applyFont="1" applyFill="1" applyBorder="1" applyAlignment="1">
      <alignment horizontal="left" vertical="center" wrapText="1"/>
    </xf>
    <xf numFmtId="0" fontId="9" fillId="3" borderId="17" xfId="7" applyFont="1" applyFill="1" applyBorder="1" applyAlignment="1">
      <alignment horizontal="left" vertical="center" wrapText="1"/>
    </xf>
    <xf numFmtId="0" fontId="10" fillId="0" borderId="15" xfId="7" applyFont="1" applyBorder="1" applyAlignment="1">
      <alignment horizontal="left" vertical="center" wrapText="1" indent="1"/>
    </xf>
    <xf numFmtId="0" fontId="10" fillId="0" borderId="15" xfId="7" applyFont="1" applyBorder="1" applyAlignment="1">
      <alignment horizontal="left" vertical="center" wrapText="1"/>
    </xf>
    <xf numFmtId="0" fontId="10" fillId="0" borderId="19" xfId="7" applyFont="1" applyBorder="1" applyAlignment="1">
      <alignment horizontal="center" vertical="center" wrapText="1"/>
    </xf>
    <xf numFmtId="165" fontId="1" fillId="0" borderId="0" xfId="8" applyNumberFormat="1"/>
    <xf numFmtId="0" fontId="10" fillId="0" borderId="20" xfId="7" applyFont="1" applyBorder="1" applyAlignment="1">
      <alignment horizontal="center" vertical="center" wrapText="1"/>
    </xf>
    <xf numFmtId="0" fontId="13" fillId="0" borderId="15" xfId="8" applyFont="1" applyBorder="1" applyAlignment="1">
      <alignment horizontal="center"/>
    </xf>
    <xf numFmtId="0" fontId="10" fillId="3" borderId="21" xfId="7" applyFont="1" applyFill="1" applyBorder="1" applyAlignment="1">
      <alignment horizontal="center" vertical="center"/>
    </xf>
    <xf numFmtId="0" fontId="9" fillId="3" borderId="22" xfId="7" applyFont="1" applyFill="1" applyBorder="1" applyAlignment="1">
      <alignment horizontal="left" vertical="center"/>
    </xf>
    <xf numFmtId="0" fontId="9" fillId="3" borderId="23" xfId="7" applyFont="1" applyFill="1" applyBorder="1" applyAlignment="1">
      <alignment horizontal="left" vertical="center" wrapText="1"/>
    </xf>
    <xf numFmtId="0" fontId="9" fillId="3" borderId="20" xfId="7" applyFont="1" applyFill="1" applyBorder="1" applyAlignment="1">
      <alignment horizontal="left" vertical="center" wrapText="1"/>
    </xf>
    <xf numFmtId="0" fontId="1" fillId="3" borderId="24" xfId="8" applyFill="1" applyBorder="1"/>
    <xf numFmtId="0" fontId="22" fillId="4" borderId="0" xfId="7" applyFont="1" applyFill="1" applyAlignment="1">
      <alignment horizontal="centerContinuous" vertical="center" wrapText="1"/>
    </xf>
    <xf numFmtId="0" fontId="23" fillId="4" borderId="0" xfId="7" applyFont="1" applyFill="1" applyAlignment="1">
      <alignment horizontal="centerContinuous" vertical="center" wrapText="1"/>
    </xf>
    <xf numFmtId="0" fontId="23" fillId="4" borderId="0" xfId="7" applyFont="1" applyFill="1" applyAlignment="1">
      <alignment horizontal="left" vertical="center" wrapText="1"/>
    </xf>
    <xf numFmtId="0" fontId="15" fillId="4" borderId="0" xfId="7" applyFont="1" applyFill="1" applyAlignment="1">
      <alignment horizontal="left" vertical="center" wrapText="1"/>
    </xf>
    <xf numFmtId="0" fontId="1" fillId="0" borderId="0" xfId="8" applyAlignment="1">
      <alignment wrapText="1"/>
    </xf>
    <xf numFmtId="0" fontId="7" fillId="2" borderId="1" xfId="3" applyFont="1" applyFill="1" applyBorder="1" applyAlignment="1">
      <alignment vertical="center" wrapText="1"/>
    </xf>
    <xf numFmtId="0" fontId="7" fillId="2" borderId="1" xfId="3" applyFont="1" applyFill="1" applyBorder="1" applyAlignment="1">
      <alignment horizontal="center" vertical="center" wrapText="1"/>
    </xf>
    <xf numFmtId="0" fontId="5" fillId="0" borderId="0" xfId="1" applyFont="1" applyAlignment="1">
      <alignment horizontal="left" wrapText="1"/>
    </xf>
    <xf numFmtId="0" fontId="19" fillId="5" borderId="7" xfId="8" applyFont="1" applyFill="1" applyBorder="1" applyAlignment="1">
      <alignment horizontal="center" vertical="center" wrapText="1"/>
    </xf>
    <xf numFmtId="0" fontId="19" fillId="5" borderId="13" xfId="8" applyFont="1" applyFill="1" applyBorder="1" applyAlignment="1">
      <alignment horizontal="center" vertical="center" wrapText="1"/>
    </xf>
    <xf numFmtId="0" fontId="19" fillId="5" borderId="2" xfId="8" applyFont="1" applyFill="1" applyBorder="1" applyAlignment="1">
      <alignment horizontal="center" vertical="center" wrapText="1"/>
    </xf>
    <xf numFmtId="0" fontId="19" fillId="5" borderId="8" xfId="8" applyFont="1" applyFill="1" applyBorder="1" applyAlignment="1">
      <alignment horizontal="center" vertical="center" wrapText="1"/>
    </xf>
    <xf numFmtId="0" fontId="19" fillId="5" borderId="3" xfId="8" applyFont="1" applyFill="1" applyBorder="1" applyAlignment="1">
      <alignment horizontal="center" vertical="center" wrapText="1"/>
    </xf>
    <xf numFmtId="0" fontId="19" fillId="5" borderId="9" xfId="8" applyFont="1" applyFill="1" applyBorder="1" applyAlignment="1">
      <alignment horizontal="center" vertical="center" wrapText="1"/>
    </xf>
    <xf numFmtId="0" fontId="19" fillId="5" borderId="4" xfId="8" applyFont="1" applyFill="1" applyBorder="1" applyAlignment="1">
      <alignment horizontal="center" vertical="center" wrapText="1"/>
    </xf>
    <xf numFmtId="0" fontId="19" fillId="5" borderId="10" xfId="8" applyFont="1" applyFill="1" applyBorder="1" applyAlignment="1">
      <alignment horizontal="center" vertical="center" wrapText="1"/>
    </xf>
    <xf numFmtId="0" fontId="19" fillId="5" borderId="5" xfId="8" applyFont="1" applyFill="1" applyBorder="1" applyAlignment="1">
      <alignment horizontal="center" vertical="center" wrapText="1"/>
    </xf>
    <xf numFmtId="0" fontId="19" fillId="5" borderId="11" xfId="8" applyFont="1" applyFill="1" applyBorder="1" applyAlignment="1">
      <alignment horizontal="center" vertical="center" wrapText="1"/>
    </xf>
    <xf numFmtId="0" fontId="19" fillId="5" borderId="6" xfId="8" applyFont="1" applyFill="1" applyBorder="1" applyAlignment="1">
      <alignment horizontal="center" vertical="center" wrapText="1"/>
    </xf>
    <xf numFmtId="0" fontId="19" fillId="5" borderId="12" xfId="8" applyFont="1" applyFill="1" applyBorder="1" applyAlignment="1">
      <alignment horizontal="center" vertical="center" wrapText="1"/>
    </xf>
  </cellXfs>
  <cellStyles count="9">
    <cellStyle name="Comma 2" xfId="5" xr:uid="{D84AC53D-1FB0-41CB-A8C2-76D7D397A526}"/>
    <cellStyle name="Comma 2 2" xfId="6" xr:uid="{BF8D16D0-5815-4EBE-8A80-FA34AA401908}"/>
    <cellStyle name="Normal 2" xfId="3" xr:uid="{64F105F1-16F2-418C-BAAD-95F9A37C5C7D}"/>
    <cellStyle name="Normal 2 2" xfId="4" xr:uid="{E8A46DCE-ABFC-4FEF-8740-5B1DE93E9966}"/>
    <cellStyle name="Normal 2 2 3" xfId="7" xr:uid="{B265E9A1-97C2-4B97-B3A9-CFC606B012A1}"/>
    <cellStyle name="Обычный" xfId="0" builtinId="0"/>
    <cellStyle name="Обычный 2" xfId="2" xr:uid="{DF254951-B9A5-4F84-8A2F-2CAB624EFEEF}"/>
    <cellStyle name="Обычный 3 2" xfId="8" xr:uid="{1E87AA1C-C824-428C-A3D6-3DC8F6D5878F}"/>
    <cellStyle name="Стиль 1" xfId="1" xr:uid="{CF8707CF-F913-434E-85CB-E59082470B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5\ukrvk\Zakup\&#1047;&#1072;&#1082;&#1091;&#1087;&#1082;&#1080;%202015\&#1058;&#1088;&#1091;&#1073;&#1072;%202015\&#1040;&#1088;&#1093;&#1080;&#1074;%20&#1076;&#1083;&#1103;%20&#1088;&#1072;&#1073;&#1086;&#1090;&#1099;\&#1054;&#1084;&#1089;&#1082;\&#1058;&#1088;&#1091;&#1073;&#1072;%20&#1087;&#1086;&#1083;&#1080;&#1101;&#1090;&#1080;&#1083;&#1077;&#1085;&#1086;&#1074;&#1072;&#1103;%202015\&#1058;&#1088;&#1091;&#1073;&#1072;%20&#1087;&#1086;&#1083;&#1080;&#1101;&#1090;&#1080;&#1083;&#1077;&#1085;&#1086;&#1074;&#1072;&#1103;_6%20169%20&#1084;&#1083;&#1085;\&#1064;&#1072;&#1073;&#1083;&#1086;&#1085;_&#1056;&#1055;&#1047;_(&#1055;&#1088;&#1080;&#1083;&#1086;&#1078;&#1077;&#1085;&#1080;&#1077;%20&#847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ШАБЛОН РПЗ"/>
      <sheetName val="Описание"/>
      <sheetName val="Постановление932"/>
      <sheetName val="ЗАКАЗЧИК"/>
      <sheetName val="Тип плана"/>
      <sheetName val="ПСП_ЦАУК"/>
      <sheetName val="Тип программы"/>
      <sheetName val="ОКДП"/>
      <sheetName val="ОКВЭД"/>
      <sheetName val="ОКАТО"/>
      <sheetName val="ОКЕИ"/>
      <sheetName val="СТАВКА_НДС"/>
      <sheetName val="Прочее"/>
      <sheetName val="СпособЗакупки"/>
      <sheetName val="ФормаПроведения"/>
      <sheetName val="ПричинаЕП"/>
      <sheetName val="ЭТП"/>
      <sheetName val="НеобходимостьПубликации"/>
      <sheetName val="СП_ЗАКАЗЧИКА"/>
      <sheetName val="Лист1"/>
      <sheetName val="Лист2"/>
      <sheetName val="Лист4"/>
      <sheetName val="Коды ОКВЭД"/>
      <sheetName val="Коды ОКДП"/>
      <sheetName val="Коды ОКЕИ"/>
      <sheetName val="Коды ОКАТО"/>
      <sheetName val="Товарные групп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
          <cell r="A2" t="str">
            <v>Без НДС</v>
          </cell>
        </row>
        <row r="3">
          <cell r="A3" t="str">
            <v>НДС 0%</v>
          </cell>
        </row>
        <row r="4">
          <cell r="A4" t="str">
            <v>НДС 10%</v>
          </cell>
        </row>
        <row r="5">
          <cell r="A5" t="str">
            <v>НДС 18%</v>
          </cell>
        </row>
        <row r="6">
          <cell r="A6" t="str">
            <v>НДС 25%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F07B-4439-4D2A-BC92-DB779D385E52}">
  <sheetPr>
    <pageSetUpPr fitToPage="1"/>
  </sheetPr>
  <dimension ref="A1:G25"/>
  <sheetViews>
    <sheetView showGridLines="0" tabSelected="1" zoomScale="70" zoomScaleNormal="70" zoomScaleSheetLayoutView="55" workbookViewId="0">
      <pane xSplit="5" ySplit="6" topLeftCell="F7" activePane="bottomRight" state="frozen"/>
      <selection pane="topRight"/>
      <selection pane="bottomLeft"/>
      <selection pane="bottomRight"/>
    </sheetView>
  </sheetViews>
  <sheetFormatPr defaultColWidth="9.140625" defaultRowHeight="15.75" x14ac:dyDescent="0.25"/>
  <cols>
    <col min="1" max="1" width="8.140625" style="1" customWidth="1"/>
    <col min="2" max="2" width="48.28515625" style="2" customWidth="1"/>
    <col min="3" max="3" width="65.28515625" style="2" customWidth="1"/>
    <col min="4" max="4" width="25" style="2" customWidth="1"/>
    <col min="5" max="5" width="37.28515625" style="2" customWidth="1"/>
    <col min="6" max="6" width="29" style="1" customWidth="1"/>
    <col min="7" max="16384" width="9.140625" style="1"/>
  </cols>
  <sheetData>
    <row r="1" spans="1:7" x14ac:dyDescent="0.25">
      <c r="G1" s="1" t="s">
        <v>0</v>
      </c>
    </row>
    <row r="4" spans="1:7" ht="26.25" customHeight="1" x14ac:dyDescent="0.25">
      <c r="A4" s="70"/>
      <c r="B4" s="70"/>
      <c r="C4" s="3"/>
      <c r="D4" s="3"/>
      <c r="E4" s="3"/>
      <c r="F4" s="3"/>
    </row>
    <row r="5" spans="1:7" s="6" customFormat="1" ht="37.15" customHeight="1" x14ac:dyDescent="0.25">
      <c r="A5" s="69" t="s">
        <v>1</v>
      </c>
      <c r="B5" s="69" t="s">
        <v>2</v>
      </c>
      <c r="C5" s="69" t="s">
        <v>3</v>
      </c>
      <c r="D5" s="69" t="s">
        <v>4</v>
      </c>
      <c r="E5" s="69" t="s">
        <v>5</v>
      </c>
      <c r="F5" s="68" t="s">
        <v>6</v>
      </c>
    </row>
    <row r="6" spans="1:7" s="4" customFormat="1" ht="54.6" customHeight="1" x14ac:dyDescent="0.25">
      <c r="A6" s="69"/>
      <c r="B6" s="69" t="s">
        <v>2</v>
      </c>
      <c r="C6" s="69" t="s">
        <v>7</v>
      </c>
      <c r="D6" s="69" t="s">
        <v>4</v>
      </c>
      <c r="E6" s="69" t="s">
        <v>8</v>
      </c>
      <c r="F6" s="5" t="s">
        <v>98</v>
      </c>
    </row>
    <row r="7" spans="1:7" s="4" customFormat="1" ht="47.65" customHeight="1" x14ac:dyDescent="0.25">
      <c r="A7" s="7">
        <v>1</v>
      </c>
      <c r="B7" s="8" t="s">
        <v>10</v>
      </c>
      <c r="C7" s="9" t="s">
        <v>11</v>
      </c>
      <c r="D7" s="10" t="s">
        <v>12</v>
      </c>
      <c r="E7" s="9" t="s">
        <v>13</v>
      </c>
      <c r="F7" s="11">
        <v>3472</v>
      </c>
    </row>
    <row r="8" spans="1:7" s="4" customFormat="1" ht="36.6" customHeight="1" x14ac:dyDescent="0.25">
      <c r="A8" s="7">
        <v>2</v>
      </c>
      <c r="B8" s="12" t="s">
        <v>14</v>
      </c>
      <c r="C8" s="10" t="s">
        <v>15</v>
      </c>
      <c r="D8" s="10" t="s">
        <v>12</v>
      </c>
      <c r="E8" s="10" t="s">
        <v>16</v>
      </c>
      <c r="F8" s="11">
        <v>106.5</v>
      </c>
    </row>
    <row r="9" spans="1:7" s="4" customFormat="1" ht="31.9" customHeight="1" x14ac:dyDescent="0.25">
      <c r="A9" s="7">
        <v>3</v>
      </c>
      <c r="B9" s="12" t="s">
        <v>17</v>
      </c>
      <c r="C9" s="10" t="s">
        <v>18</v>
      </c>
      <c r="D9" s="10" t="s">
        <v>12</v>
      </c>
      <c r="E9" s="10" t="s">
        <v>16</v>
      </c>
      <c r="F9" s="11">
        <v>47451.75</v>
      </c>
    </row>
    <row r="10" spans="1:7" s="4" customFormat="1" ht="46.35" customHeight="1" x14ac:dyDescent="0.25">
      <c r="A10" s="7">
        <v>4</v>
      </c>
      <c r="B10" s="13" t="s">
        <v>19</v>
      </c>
      <c r="C10" s="10" t="s">
        <v>20</v>
      </c>
      <c r="D10" s="10" t="s">
        <v>12</v>
      </c>
      <c r="E10" s="10" t="s">
        <v>16</v>
      </c>
      <c r="F10" s="11">
        <v>2</v>
      </c>
    </row>
    <row r="11" spans="1:7" s="4" customFormat="1" ht="60" x14ac:dyDescent="0.25">
      <c r="A11" s="7">
        <v>5</v>
      </c>
      <c r="B11" s="13" t="s">
        <v>21</v>
      </c>
      <c r="C11" s="10" t="s">
        <v>22</v>
      </c>
      <c r="D11" s="10" t="s">
        <v>12</v>
      </c>
      <c r="E11" s="10" t="s">
        <v>16</v>
      </c>
      <c r="F11" s="11">
        <v>3264</v>
      </c>
    </row>
    <row r="12" spans="1:7" s="4" customFormat="1" ht="30" x14ac:dyDescent="0.25">
      <c r="A12" s="7">
        <v>6</v>
      </c>
      <c r="B12" s="12" t="s">
        <v>23</v>
      </c>
      <c r="C12" s="10" t="s">
        <v>24</v>
      </c>
      <c r="D12" s="10" t="s">
        <v>12</v>
      </c>
      <c r="E12" s="10" t="s">
        <v>16</v>
      </c>
      <c r="F12" s="11">
        <v>210.5</v>
      </c>
    </row>
    <row r="13" spans="1:7" s="4" customFormat="1" ht="30" x14ac:dyDescent="0.25">
      <c r="A13" s="7">
        <v>7</v>
      </c>
      <c r="B13" s="12" t="s">
        <v>25</v>
      </c>
      <c r="C13" s="10" t="s">
        <v>26</v>
      </c>
      <c r="D13" s="10" t="s">
        <v>27</v>
      </c>
      <c r="E13" s="10" t="s">
        <v>13</v>
      </c>
      <c r="F13" s="11">
        <v>688.75</v>
      </c>
    </row>
    <row r="14" spans="1:7" s="4" customFormat="1" ht="45" x14ac:dyDescent="0.25">
      <c r="A14" s="7">
        <v>8</v>
      </c>
      <c r="B14" s="13" t="s">
        <v>28</v>
      </c>
      <c r="C14" s="10" t="s">
        <v>29</v>
      </c>
      <c r="D14" s="10" t="s">
        <v>27</v>
      </c>
      <c r="E14" s="9" t="s">
        <v>13</v>
      </c>
      <c r="F14" s="14">
        <v>8.25</v>
      </c>
    </row>
    <row r="15" spans="1:7" s="4" customFormat="1" ht="60" x14ac:dyDescent="0.25">
      <c r="A15" s="7">
        <v>9</v>
      </c>
      <c r="B15" s="13" t="s">
        <v>30</v>
      </c>
      <c r="C15" s="10" t="s">
        <v>31</v>
      </c>
      <c r="D15" s="10" t="s">
        <v>27</v>
      </c>
      <c r="E15" s="9" t="s">
        <v>13</v>
      </c>
      <c r="F15" s="14">
        <v>0</v>
      </c>
    </row>
    <row r="16" spans="1:7" s="4" customFormat="1" ht="46.15" customHeight="1" x14ac:dyDescent="0.25">
      <c r="A16" s="7">
        <v>10</v>
      </c>
      <c r="B16" s="12" t="s">
        <v>32</v>
      </c>
      <c r="C16" s="10" t="s">
        <v>33</v>
      </c>
      <c r="D16" s="10" t="s">
        <v>12</v>
      </c>
      <c r="E16" s="10" t="s">
        <v>16</v>
      </c>
      <c r="F16" s="11">
        <v>21.75</v>
      </c>
    </row>
    <row r="17" spans="1:6" s="4" customFormat="1" ht="62.25" x14ac:dyDescent="0.25">
      <c r="A17" s="7">
        <v>11</v>
      </c>
      <c r="B17" s="12" t="s">
        <v>34</v>
      </c>
      <c r="C17" s="10" t="s">
        <v>35</v>
      </c>
      <c r="D17" s="10" t="s">
        <v>36</v>
      </c>
      <c r="E17" s="10" t="s">
        <v>35</v>
      </c>
      <c r="F17" s="15">
        <v>13806</v>
      </c>
    </row>
    <row r="18" spans="1:6" s="20" customFormat="1" ht="43.15" customHeight="1" x14ac:dyDescent="0.25">
      <c r="A18" s="16">
        <v>12</v>
      </c>
      <c r="B18" s="17" t="s">
        <v>37</v>
      </c>
      <c r="C18" s="18" t="s">
        <v>38</v>
      </c>
      <c r="D18" s="18" t="s">
        <v>12</v>
      </c>
      <c r="E18" s="18" t="s">
        <v>38</v>
      </c>
      <c r="F18" s="19"/>
    </row>
    <row r="22" spans="1:6" x14ac:dyDescent="0.25">
      <c r="B22" s="1"/>
      <c r="C22" s="21"/>
    </row>
    <row r="23" spans="1:6" x14ac:dyDescent="0.25">
      <c r="B23" s="1"/>
      <c r="C23" s="21"/>
    </row>
    <row r="24" spans="1:6" x14ac:dyDescent="0.25">
      <c r="B24" s="1"/>
      <c r="C24" s="21"/>
    </row>
    <row r="25" spans="1:6" x14ac:dyDescent="0.25">
      <c r="B25" s="1"/>
      <c r="C25" s="21"/>
    </row>
  </sheetData>
  <mergeCells count="6">
    <mergeCell ref="E5:E6"/>
    <mergeCell ref="A4:B4"/>
    <mergeCell ref="A5:A6"/>
    <mergeCell ref="B5:B6"/>
    <mergeCell ref="C5:C6"/>
    <mergeCell ref="D5:D6"/>
  </mergeCells>
  <printOptions horizontalCentered="1" verticalCentered="1"/>
  <pageMargins left="0.23622047244094491" right="0.23622047244094491" top="0.74803149606299213" bottom="0.74803149606299213" header="0.31496062992125984" footer="0.31496062992125984"/>
  <pageSetup paperSize="9" scale="38" fitToHeight="2" orientation="landscape" r:id="rId1"/>
  <headerFooter alignWithMargins="0">
    <oddFooter>Страница &amp;P из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8E201-9318-47FD-8925-CDBA08139971}">
  <sheetPr>
    <outlinePr summaryBelow="0"/>
  </sheetPr>
  <dimension ref="A2:G341"/>
  <sheetViews>
    <sheetView showGridLines="0" zoomScale="70" zoomScaleNormal="70" workbookViewId="0">
      <pane xSplit="3" ySplit="6" topLeftCell="D7" activePane="bottomRight" state="frozen"/>
      <selection pane="topRight"/>
      <selection pane="bottomLeft"/>
      <selection pane="bottomRight" activeCell="G5" sqref="G5:G6"/>
    </sheetView>
  </sheetViews>
  <sheetFormatPr defaultColWidth="9" defaultRowHeight="15" x14ac:dyDescent="0.25"/>
  <cols>
    <col min="1" max="1" width="9" style="23"/>
    <col min="2" max="2" width="10.42578125" style="22" customWidth="1"/>
    <col min="3" max="3" width="141.140625" style="22" customWidth="1"/>
    <col min="4" max="5" width="14.28515625" style="22" customWidth="1"/>
    <col min="6" max="6" width="22.28515625" style="23" customWidth="1"/>
    <col min="7" max="8" width="20.85546875" style="23" customWidth="1"/>
    <col min="9" max="16384" width="9" style="23"/>
  </cols>
  <sheetData>
    <row r="2" spans="2:7" x14ac:dyDescent="0.25">
      <c r="B2" s="24"/>
      <c r="C2" s="25"/>
      <c r="D2" s="23"/>
      <c r="E2" s="23"/>
    </row>
    <row r="3" spans="2:7" x14ac:dyDescent="0.25">
      <c r="B3" s="24"/>
      <c r="C3" s="26"/>
      <c r="D3" s="26"/>
      <c r="E3" s="26"/>
    </row>
    <row r="4" spans="2:7" ht="14.85" customHeight="1" x14ac:dyDescent="0.25">
      <c r="B4" s="23"/>
      <c r="C4" s="23"/>
      <c r="D4" s="23"/>
      <c r="E4" s="23"/>
    </row>
    <row r="5" spans="2:7" ht="28.35" customHeight="1" x14ac:dyDescent="0.25">
      <c r="B5" s="73" t="s">
        <v>1</v>
      </c>
      <c r="C5" s="75" t="s">
        <v>3</v>
      </c>
      <c r="D5" s="77" t="s">
        <v>39</v>
      </c>
      <c r="E5" s="79" t="s">
        <v>40</v>
      </c>
      <c r="F5" s="81" t="s">
        <v>41</v>
      </c>
      <c r="G5" s="71" t="s">
        <v>99</v>
      </c>
    </row>
    <row r="6" spans="2:7" ht="28.5" customHeight="1" x14ac:dyDescent="0.25">
      <c r="B6" s="74"/>
      <c r="C6" s="76"/>
      <c r="D6" s="78"/>
      <c r="E6" s="80"/>
      <c r="F6" s="82"/>
      <c r="G6" s="72" t="s">
        <v>9</v>
      </c>
    </row>
    <row r="7" spans="2:7" x14ac:dyDescent="0.25">
      <c r="B7" s="27"/>
      <c r="C7" s="28" t="s">
        <v>42</v>
      </c>
      <c r="D7" s="29"/>
      <c r="E7" s="30"/>
      <c r="F7" s="31"/>
      <c r="G7" s="31"/>
    </row>
    <row r="8" spans="2:7" x14ac:dyDescent="0.25">
      <c r="B8" s="32">
        <v>1</v>
      </c>
      <c r="C8" s="33" t="s">
        <v>43</v>
      </c>
      <c r="D8" s="34" t="s">
        <v>44</v>
      </c>
      <c r="E8" s="35" t="s">
        <v>45</v>
      </c>
      <c r="F8" s="36">
        <f>SUM(G8:G8)</f>
        <v>1</v>
      </c>
      <c r="G8" s="36">
        <v>1</v>
      </c>
    </row>
    <row r="9" spans="2:7" x14ac:dyDescent="0.25">
      <c r="B9" s="32">
        <v>2</v>
      </c>
      <c r="C9" s="33" t="s">
        <v>46</v>
      </c>
      <c r="D9" s="34" t="s">
        <v>47</v>
      </c>
      <c r="E9" s="35" t="s">
        <v>48</v>
      </c>
      <c r="F9" s="36">
        <f>SUM(G9:G9)</f>
        <v>697</v>
      </c>
      <c r="G9" s="36">
        <v>697</v>
      </c>
    </row>
    <row r="10" spans="2:7" x14ac:dyDescent="0.25">
      <c r="B10" s="32">
        <v>3</v>
      </c>
      <c r="C10" s="33" t="s">
        <v>49</v>
      </c>
      <c r="D10" s="34" t="s">
        <v>44</v>
      </c>
      <c r="E10" s="35" t="s">
        <v>45</v>
      </c>
      <c r="F10" s="36">
        <f>SUM(G10:G10)</f>
        <v>0</v>
      </c>
      <c r="G10" s="36"/>
    </row>
    <row r="11" spans="2:7" x14ac:dyDescent="0.25">
      <c r="B11" s="37"/>
      <c r="C11" s="28" t="s">
        <v>50</v>
      </c>
      <c r="D11" s="38"/>
      <c r="E11" s="39"/>
      <c r="F11" s="40"/>
      <c r="G11" s="40"/>
    </row>
    <row r="12" spans="2:7" x14ac:dyDescent="0.25">
      <c r="B12" s="41"/>
      <c r="C12" s="42" t="s">
        <v>51</v>
      </c>
      <c r="D12" s="43"/>
      <c r="E12" s="44"/>
      <c r="F12" s="45"/>
      <c r="G12" s="45"/>
    </row>
    <row r="13" spans="2:7" ht="25.5" customHeight="1" x14ac:dyDescent="0.25">
      <c r="B13" s="32">
        <v>4</v>
      </c>
      <c r="C13" s="33" t="s">
        <v>52</v>
      </c>
      <c r="D13" s="34" t="s">
        <v>44</v>
      </c>
      <c r="E13" s="35" t="s">
        <v>48</v>
      </c>
      <c r="F13" s="36">
        <f>SUM(G13:G13)</f>
        <v>3472</v>
      </c>
      <c r="G13" s="36">
        <v>3472</v>
      </c>
    </row>
    <row r="14" spans="2:7" s="46" customFormat="1" x14ac:dyDescent="0.25">
      <c r="B14" s="32">
        <v>5</v>
      </c>
      <c r="C14" s="33" t="s">
        <v>53</v>
      </c>
      <c r="D14" s="34" t="s">
        <v>44</v>
      </c>
      <c r="E14" s="35" t="s">
        <v>48</v>
      </c>
      <c r="F14" s="36">
        <f>SUM(G14:G14)</f>
        <v>0</v>
      </c>
      <c r="G14" s="36"/>
    </row>
    <row r="15" spans="2:7" s="46" customFormat="1" x14ac:dyDescent="0.25">
      <c r="B15" s="32">
        <v>6</v>
      </c>
      <c r="C15" s="47" t="s">
        <v>54</v>
      </c>
      <c r="D15" s="34" t="s">
        <v>44</v>
      </c>
      <c r="E15" s="35" t="s">
        <v>48</v>
      </c>
      <c r="F15" s="36">
        <f>SUM(G15:G15)</f>
        <v>0</v>
      </c>
      <c r="G15" s="36"/>
    </row>
    <row r="16" spans="2:7" s="46" customFormat="1" x14ac:dyDescent="0.25">
      <c r="B16" s="32">
        <v>7</v>
      </c>
      <c r="C16" s="33" t="s">
        <v>55</v>
      </c>
      <c r="D16" s="34" t="s">
        <v>44</v>
      </c>
      <c r="E16" s="35" t="s">
        <v>56</v>
      </c>
      <c r="F16" s="36">
        <f>SUM(G16:G16)</f>
        <v>21</v>
      </c>
      <c r="G16" s="36">
        <v>21</v>
      </c>
    </row>
    <row r="17" spans="2:7" s="46" customFormat="1" x14ac:dyDescent="0.25">
      <c r="B17" s="32">
        <v>8</v>
      </c>
      <c r="C17" s="33" t="s">
        <v>57</v>
      </c>
      <c r="D17" s="34" t="s">
        <v>44</v>
      </c>
      <c r="E17" s="35" t="s">
        <v>56</v>
      </c>
      <c r="F17" s="36">
        <f>SUM(G17:G17)</f>
        <v>2</v>
      </c>
      <c r="G17" s="36">
        <v>2</v>
      </c>
    </row>
    <row r="18" spans="2:7" x14ac:dyDescent="0.25">
      <c r="B18" s="48"/>
      <c r="C18" s="49" t="s">
        <v>58</v>
      </c>
      <c r="D18" s="50"/>
      <c r="E18" s="51"/>
      <c r="F18" s="45"/>
      <c r="G18" s="45"/>
    </row>
    <row r="19" spans="2:7" s="46" customFormat="1" x14ac:dyDescent="0.25">
      <c r="B19" s="32">
        <v>9</v>
      </c>
      <c r="C19" s="33" t="s">
        <v>15</v>
      </c>
      <c r="D19" s="34" t="s">
        <v>44</v>
      </c>
      <c r="E19" s="35" t="s">
        <v>48</v>
      </c>
      <c r="F19" s="36">
        <f>SUM(G19:G19)</f>
        <v>106.5</v>
      </c>
      <c r="G19" s="36">
        <v>106.5</v>
      </c>
    </row>
    <row r="20" spans="2:7" s="46" customFormat="1" x14ac:dyDescent="0.25">
      <c r="B20" s="32">
        <v>10</v>
      </c>
      <c r="C20" s="33" t="s">
        <v>55</v>
      </c>
      <c r="D20" s="34" t="s">
        <v>44</v>
      </c>
      <c r="E20" s="35" t="s">
        <v>56</v>
      </c>
      <c r="F20" s="36">
        <f>SUM(G20:G20)</f>
        <v>12</v>
      </c>
      <c r="G20" s="36">
        <v>12</v>
      </c>
    </row>
    <row r="21" spans="2:7" x14ac:dyDescent="0.25">
      <c r="B21" s="48"/>
      <c r="C21" s="49" t="s">
        <v>59</v>
      </c>
      <c r="D21" s="50"/>
      <c r="E21" s="51"/>
      <c r="F21" s="45"/>
      <c r="G21" s="45"/>
    </row>
    <row r="22" spans="2:7" s="46" customFormat="1" x14ac:dyDescent="0.25">
      <c r="B22" s="32">
        <v>11</v>
      </c>
      <c r="C22" s="33" t="s">
        <v>18</v>
      </c>
      <c r="D22" s="34" t="s">
        <v>44</v>
      </c>
      <c r="E22" s="35" t="s">
        <v>56</v>
      </c>
      <c r="F22" s="36">
        <f>SUM(G22:G22)</f>
        <v>47451.75</v>
      </c>
      <c r="G22" s="36">
        <v>47451.75</v>
      </c>
    </row>
    <row r="23" spans="2:7" s="46" customFormat="1" x14ac:dyDescent="0.25">
      <c r="B23" s="32">
        <v>12</v>
      </c>
      <c r="C23" s="33" t="s">
        <v>55</v>
      </c>
      <c r="D23" s="34" t="s">
        <v>44</v>
      </c>
      <c r="E23" s="35" t="s">
        <v>56</v>
      </c>
      <c r="F23" s="36">
        <f>SUM(G23:G23)</f>
        <v>8</v>
      </c>
      <c r="G23" s="36">
        <v>8</v>
      </c>
    </row>
    <row r="24" spans="2:7" s="46" customFormat="1" x14ac:dyDescent="0.25">
      <c r="B24" s="32">
        <v>13</v>
      </c>
      <c r="C24" s="33" t="s">
        <v>57</v>
      </c>
      <c r="D24" s="34" t="s">
        <v>44</v>
      </c>
      <c r="E24" s="35" t="s">
        <v>56</v>
      </c>
      <c r="F24" s="36">
        <f>SUM(G24:G24)</f>
        <v>4</v>
      </c>
      <c r="G24" s="36">
        <v>4</v>
      </c>
    </row>
    <row r="25" spans="2:7" x14ac:dyDescent="0.25">
      <c r="B25" s="48"/>
      <c r="C25" s="49" t="s">
        <v>60</v>
      </c>
      <c r="D25" s="50"/>
      <c r="E25" s="51"/>
      <c r="F25" s="45"/>
      <c r="G25" s="45"/>
    </row>
    <row r="26" spans="2:7" s="46" customFormat="1" x14ac:dyDescent="0.25">
      <c r="B26" s="32">
        <v>14</v>
      </c>
      <c r="C26" s="33" t="s">
        <v>20</v>
      </c>
      <c r="D26" s="34" t="s">
        <v>44</v>
      </c>
      <c r="E26" s="35" t="s">
        <v>48</v>
      </c>
      <c r="F26" s="36">
        <f>SUM(G26:G26)</f>
        <v>2</v>
      </c>
      <c r="G26" s="36">
        <v>2</v>
      </c>
    </row>
    <row r="27" spans="2:7" s="46" customFormat="1" x14ac:dyDescent="0.25">
      <c r="B27" s="32">
        <v>15</v>
      </c>
      <c r="C27" s="33" t="s">
        <v>61</v>
      </c>
      <c r="D27" s="34" t="s">
        <v>44</v>
      </c>
      <c r="E27" s="35" t="s">
        <v>48</v>
      </c>
      <c r="F27" s="36">
        <f>SUM(G27:G27)</f>
        <v>3264</v>
      </c>
      <c r="G27" s="36">
        <v>3264</v>
      </c>
    </row>
    <row r="28" spans="2:7" s="46" customFormat="1" x14ac:dyDescent="0.25">
      <c r="B28" s="32">
        <v>16</v>
      </c>
      <c r="C28" s="33" t="s">
        <v>55</v>
      </c>
      <c r="D28" s="34" t="s">
        <v>44</v>
      </c>
      <c r="E28" s="35" t="s">
        <v>56</v>
      </c>
      <c r="F28" s="36">
        <f>SUM(G28:G28)</f>
        <v>20</v>
      </c>
      <c r="G28" s="36">
        <v>20</v>
      </c>
    </row>
    <row r="29" spans="2:7" s="46" customFormat="1" x14ac:dyDescent="0.25">
      <c r="B29" s="32">
        <v>17</v>
      </c>
      <c r="C29" s="52" t="s">
        <v>62</v>
      </c>
      <c r="D29" s="34" t="s">
        <v>44</v>
      </c>
      <c r="E29" s="35" t="s">
        <v>56</v>
      </c>
      <c r="F29" s="36">
        <f>SUM(G29:G29)</f>
        <v>4</v>
      </c>
      <c r="G29" s="36">
        <v>4</v>
      </c>
    </row>
    <row r="30" spans="2:7" x14ac:dyDescent="0.25">
      <c r="B30" s="48"/>
      <c r="C30" s="49" t="s">
        <v>63</v>
      </c>
      <c r="D30" s="50"/>
      <c r="E30" s="51"/>
      <c r="F30" s="45"/>
      <c r="G30" s="45"/>
    </row>
    <row r="31" spans="2:7" s="46" customFormat="1" x14ac:dyDescent="0.25">
      <c r="B31" s="32">
        <v>18</v>
      </c>
      <c r="C31" s="33" t="s">
        <v>64</v>
      </c>
      <c r="D31" s="34" t="s">
        <v>44</v>
      </c>
      <c r="E31" s="35" t="s">
        <v>48</v>
      </c>
      <c r="F31" s="36">
        <f>SUM(G31:G31)</f>
        <v>210.5</v>
      </c>
      <c r="G31" s="36">
        <v>210.5</v>
      </c>
    </row>
    <row r="32" spans="2:7" s="46" customFormat="1" x14ac:dyDescent="0.25">
      <c r="B32" s="32">
        <v>19</v>
      </c>
      <c r="C32" s="33" t="s">
        <v>55</v>
      </c>
      <c r="D32" s="34" t="s">
        <v>44</v>
      </c>
      <c r="E32" s="35" t="s">
        <v>56</v>
      </c>
      <c r="F32" s="36">
        <f>SUM(G32:G32)</f>
        <v>8</v>
      </c>
      <c r="G32" s="36">
        <v>8</v>
      </c>
    </row>
    <row r="33" spans="1:7" s="46" customFormat="1" x14ac:dyDescent="0.25">
      <c r="B33" s="32">
        <v>20</v>
      </c>
      <c r="C33" s="52" t="s">
        <v>62</v>
      </c>
      <c r="D33" s="34" t="s">
        <v>44</v>
      </c>
      <c r="E33" s="35" t="s">
        <v>56</v>
      </c>
      <c r="F33" s="36">
        <f>SUM(G33:G33)</f>
        <v>4</v>
      </c>
      <c r="G33" s="36">
        <v>4</v>
      </c>
    </row>
    <row r="34" spans="1:7" x14ac:dyDescent="0.25">
      <c r="B34" s="48"/>
      <c r="C34" s="49" t="s">
        <v>65</v>
      </c>
      <c r="D34" s="50"/>
      <c r="E34" s="51"/>
      <c r="F34" s="45"/>
      <c r="G34" s="45"/>
    </row>
    <row r="35" spans="1:7" ht="14.85" customHeight="1" x14ac:dyDescent="0.25">
      <c r="B35" s="32">
        <v>21</v>
      </c>
      <c r="C35" s="33" t="s">
        <v>66</v>
      </c>
      <c r="D35" s="34" t="s">
        <v>47</v>
      </c>
      <c r="E35" s="35" t="s">
        <v>48</v>
      </c>
      <c r="F35" s="36">
        <f>SUM(G35:G35)</f>
        <v>688.75</v>
      </c>
      <c r="G35" s="36">
        <v>688.75</v>
      </c>
    </row>
    <row r="36" spans="1:7" x14ac:dyDescent="0.25">
      <c r="B36" s="32">
        <v>22</v>
      </c>
      <c r="C36" s="53" t="s">
        <v>67</v>
      </c>
      <c r="D36" s="34" t="s">
        <v>47</v>
      </c>
      <c r="E36" s="35" t="s">
        <v>48</v>
      </c>
      <c r="F36" s="36">
        <f>SUM(G36:G36)</f>
        <v>8.25</v>
      </c>
      <c r="G36" s="36">
        <v>8.25</v>
      </c>
    </row>
    <row r="37" spans="1:7" x14ac:dyDescent="0.25">
      <c r="B37" s="32">
        <v>23</v>
      </c>
      <c r="C37" s="53" t="s">
        <v>31</v>
      </c>
      <c r="D37" s="34" t="s">
        <v>47</v>
      </c>
      <c r="E37" s="35" t="s">
        <v>48</v>
      </c>
      <c r="F37" s="36">
        <f>SUM(G37:G37)</f>
        <v>0</v>
      </c>
      <c r="G37" s="36">
        <v>0</v>
      </c>
    </row>
    <row r="38" spans="1:7" s="46" customFormat="1" x14ac:dyDescent="0.25">
      <c r="B38" s="32">
        <v>24</v>
      </c>
      <c r="C38" s="33" t="s">
        <v>57</v>
      </c>
      <c r="D38" s="34" t="s">
        <v>44</v>
      </c>
      <c r="E38" s="35" t="s">
        <v>56</v>
      </c>
      <c r="F38" s="36">
        <f>SUM(G38:G38)</f>
        <v>12</v>
      </c>
      <c r="G38" s="36">
        <v>12</v>
      </c>
    </row>
    <row r="39" spans="1:7" x14ac:dyDescent="0.25">
      <c r="B39" s="48"/>
      <c r="C39" s="49" t="s">
        <v>68</v>
      </c>
      <c r="D39" s="50"/>
      <c r="E39" s="51"/>
      <c r="F39" s="45"/>
      <c r="G39" s="45"/>
    </row>
    <row r="40" spans="1:7" x14ac:dyDescent="0.25">
      <c r="B40" s="32">
        <v>25</v>
      </c>
      <c r="C40" s="33" t="s">
        <v>33</v>
      </c>
      <c r="D40" s="34" t="s">
        <v>44</v>
      </c>
      <c r="E40" s="35" t="s">
        <v>48</v>
      </c>
      <c r="F40" s="36">
        <f>SUM(G40:G40)</f>
        <v>21.75</v>
      </c>
      <c r="G40" s="36">
        <v>21.75</v>
      </c>
    </row>
    <row r="41" spans="1:7" x14ac:dyDescent="0.25">
      <c r="B41" s="48"/>
      <c r="C41" s="49" t="s">
        <v>69</v>
      </c>
      <c r="D41" s="50"/>
      <c r="E41" s="51"/>
      <c r="F41" s="45"/>
      <c r="G41" s="45"/>
    </row>
    <row r="42" spans="1:7" x14ac:dyDescent="0.25">
      <c r="B42" s="32">
        <v>26</v>
      </c>
      <c r="C42" s="33" t="s">
        <v>70</v>
      </c>
      <c r="D42" s="34" t="s">
        <v>71</v>
      </c>
      <c r="E42" s="35" t="s">
        <v>45</v>
      </c>
      <c r="F42" s="54">
        <v>7</v>
      </c>
      <c r="G42" s="54"/>
    </row>
    <row r="43" spans="1:7" x14ac:dyDescent="0.25">
      <c r="B43" s="32">
        <v>27</v>
      </c>
      <c r="C43" s="33" t="s">
        <v>72</v>
      </c>
      <c r="D43" s="34" t="s">
        <v>71</v>
      </c>
      <c r="E43" s="35" t="s">
        <v>45</v>
      </c>
      <c r="F43" s="54">
        <v>8</v>
      </c>
      <c r="G43" s="54"/>
    </row>
    <row r="44" spans="1:7" x14ac:dyDescent="0.25">
      <c r="B44" s="32">
        <v>28</v>
      </c>
      <c r="C44" s="33" t="s">
        <v>73</v>
      </c>
      <c r="D44" s="34" t="s">
        <v>71</v>
      </c>
      <c r="E44" s="35" t="s">
        <v>45</v>
      </c>
      <c r="F44" s="54">
        <v>7</v>
      </c>
      <c r="G44" s="54"/>
    </row>
    <row r="45" spans="1:7" x14ac:dyDescent="0.25">
      <c r="B45" s="32">
        <v>29</v>
      </c>
      <c r="C45" s="33" t="s">
        <v>74</v>
      </c>
      <c r="D45" s="34" t="s">
        <v>71</v>
      </c>
      <c r="E45" s="35" t="s">
        <v>45</v>
      </c>
      <c r="F45" s="54">
        <v>8</v>
      </c>
      <c r="G45" s="54"/>
    </row>
    <row r="46" spans="1:7" x14ac:dyDescent="0.25">
      <c r="B46" s="32">
        <v>30</v>
      </c>
      <c r="C46" s="33" t="s">
        <v>75</v>
      </c>
      <c r="D46" s="34" t="s">
        <v>71</v>
      </c>
      <c r="E46" s="35" t="s">
        <v>45</v>
      </c>
      <c r="F46" s="54">
        <v>8</v>
      </c>
      <c r="G46" s="54"/>
    </row>
    <row r="47" spans="1:7" x14ac:dyDescent="0.25">
      <c r="B47" s="32">
        <v>31</v>
      </c>
      <c r="C47" s="33" t="s">
        <v>76</v>
      </c>
      <c r="D47" s="34" t="s">
        <v>71</v>
      </c>
      <c r="E47" s="35" t="s">
        <v>45</v>
      </c>
      <c r="F47" s="54">
        <v>10</v>
      </c>
      <c r="G47" s="54"/>
    </row>
    <row r="48" spans="1:7" x14ac:dyDescent="0.25">
      <c r="A48" s="55"/>
      <c r="B48" s="32">
        <v>32</v>
      </c>
      <c r="C48" s="33" t="s">
        <v>77</v>
      </c>
      <c r="D48" s="34" t="s">
        <v>44</v>
      </c>
      <c r="E48" s="35" t="s">
        <v>56</v>
      </c>
      <c r="F48" s="36">
        <f>SUM(G48:G48)</f>
        <v>48</v>
      </c>
      <c r="G48" s="36">
        <v>48</v>
      </c>
    </row>
    <row r="49" spans="1:7" x14ac:dyDescent="0.25">
      <c r="B49" s="32">
        <v>33</v>
      </c>
      <c r="C49" s="33" t="s">
        <v>78</v>
      </c>
      <c r="D49" s="34" t="s">
        <v>71</v>
      </c>
      <c r="E49" s="35" t="s">
        <v>45</v>
      </c>
      <c r="F49" s="54">
        <v>15</v>
      </c>
      <c r="G49" s="54"/>
    </row>
    <row r="50" spans="1:7" x14ac:dyDescent="0.25">
      <c r="B50" s="32">
        <v>34</v>
      </c>
      <c r="C50" s="33" t="s">
        <v>79</v>
      </c>
      <c r="D50" s="34" t="s">
        <v>44</v>
      </c>
      <c r="E50" s="35" t="s">
        <v>56</v>
      </c>
      <c r="F50" s="36">
        <f>SUM(G50:G50)</f>
        <v>0</v>
      </c>
      <c r="G50" s="36"/>
    </row>
    <row r="51" spans="1:7" x14ac:dyDescent="0.25">
      <c r="A51" s="55"/>
      <c r="B51" s="32">
        <v>35</v>
      </c>
      <c r="C51" s="33" t="s">
        <v>80</v>
      </c>
      <c r="D51" s="34" t="s">
        <v>44</v>
      </c>
      <c r="E51" s="35" t="s">
        <v>56</v>
      </c>
      <c r="F51" s="36">
        <f>SUM(G51:G51)</f>
        <v>0</v>
      </c>
      <c r="G51" s="36">
        <v>0</v>
      </c>
    </row>
    <row r="52" spans="1:7" ht="42.75" x14ac:dyDescent="0.25">
      <c r="B52" s="32">
        <v>36</v>
      </c>
      <c r="C52" s="33" t="s">
        <v>81</v>
      </c>
      <c r="D52" s="34" t="s">
        <v>45</v>
      </c>
      <c r="E52" s="35"/>
      <c r="F52" s="54" t="s">
        <v>82</v>
      </c>
      <c r="G52" s="36">
        <v>1</v>
      </c>
    </row>
    <row r="53" spans="1:7" x14ac:dyDescent="0.25">
      <c r="B53" s="32">
        <v>37</v>
      </c>
      <c r="C53" s="33" t="s">
        <v>83</v>
      </c>
      <c r="D53" s="34" t="s">
        <v>44</v>
      </c>
      <c r="E53" s="35" t="s">
        <v>56</v>
      </c>
      <c r="F53" s="36">
        <f>SUM(G53:G53)</f>
        <v>2</v>
      </c>
      <c r="G53" s="36">
        <v>2</v>
      </c>
    </row>
    <row r="54" spans="1:7" x14ac:dyDescent="0.25">
      <c r="B54" s="32">
        <v>38</v>
      </c>
      <c r="C54" s="33" t="s">
        <v>84</v>
      </c>
      <c r="D54" s="34" t="s">
        <v>44</v>
      </c>
      <c r="E54" s="35" t="s">
        <v>56</v>
      </c>
      <c r="F54" s="36">
        <f>SUM(G54:G54)</f>
        <v>2</v>
      </c>
      <c r="G54" s="36">
        <v>2</v>
      </c>
    </row>
    <row r="55" spans="1:7" x14ac:dyDescent="0.25">
      <c r="B55" s="32">
        <v>39</v>
      </c>
      <c r="C55" s="33" t="s">
        <v>85</v>
      </c>
      <c r="D55" s="34" t="s">
        <v>44</v>
      </c>
      <c r="E55" s="35" t="s">
        <v>56</v>
      </c>
      <c r="F55" s="36">
        <f>SUM(G55:G55)</f>
        <v>2</v>
      </c>
      <c r="G55" s="36">
        <v>2</v>
      </c>
    </row>
    <row r="56" spans="1:7" x14ac:dyDescent="0.25">
      <c r="B56" s="48"/>
      <c r="C56" s="49" t="s">
        <v>86</v>
      </c>
      <c r="D56" s="50"/>
      <c r="E56" s="51"/>
      <c r="F56" s="45"/>
      <c r="G56" s="45"/>
    </row>
    <row r="57" spans="1:7" ht="14.85" customHeight="1" x14ac:dyDescent="0.25">
      <c r="B57" s="32">
        <v>40</v>
      </c>
      <c r="C57" s="33" t="s">
        <v>87</v>
      </c>
      <c r="D57" s="34" t="s">
        <v>44</v>
      </c>
      <c r="E57" s="56" t="s">
        <v>45</v>
      </c>
      <c r="F57" s="57">
        <f>SUM(G57:G57)</f>
        <v>6</v>
      </c>
      <c r="G57" s="36">
        <v>6</v>
      </c>
    </row>
    <row r="58" spans="1:7" x14ac:dyDescent="0.25">
      <c r="B58" s="32">
        <v>41</v>
      </c>
      <c r="C58" s="33" t="s">
        <v>88</v>
      </c>
      <c r="D58" s="34" t="s">
        <v>44</v>
      </c>
      <c r="E58" s="35" t="s">
        <v>56</v>
      </c>
      <c r="F58" s="36">
        <f>SUM(G58:G58)</f>
        <v>0</v>
      </c>
      <c r="G58" s="36"/>
    </row>
    <row r="59" spans="1:7" x14ac:dyDescent="0.25">
      <c r="B59" s="32">
        <v>42</v>
      </c>
      <c r="C59" s="33" t="s">
        <v>89</v>
      </c>
      <c r="D59" s="34" t="s">
        <v>44</v>
      </c>
      <c r="E59" s="35" t="s">
        <v>56</v>
      </c>
      <c r="F59" s="36">
        <f>SUM(G59:G59)</f>
        <v>0</v>
      </c>
      <c r="G59" s="36"/>
    </row>
    <row r="60" spans="1:7" x14ac:dyDescent="0.25">
      <c r="B60" s="32">
        <v>43</v>
      </c>
      <c r="C60" s="33" t="s">
        <v>90</v>
      </c>
      <c r="D60" s="34" t="s">
        <v>44</v>
      </c>
      <c r="E60" s="35" t="s">
        <v>56</v>
      </c>
      <c r="F60" s="36">
        <f>SUM(G60:G60)</f>
        <v>0</v>
      </c>
      <c r="G60" s="36"/>
    </row>
    <row r="61" spans="1:7" ht="15.75" customHeight="1" x14ac:dyDescent="0.25">
      <c r="B61" s="48"/>
      <c r="C61" s="49" t="s">
        <v>91</v>
      </c>
      <c r="D61" s="50"/>
      <c r="E61" s="51"/>
      <c r="F61" s="45"/>
      <c r="G61" s="45"/>
    </row>
    <row r="62" spans="1:7" x14ac:dyDescent="0.25">
      <c r="B62" s="32">
        <v>44</v>
      </c>
      <c r="C62" s="33" t="s">
        <v>92</v>
      </c>
      <c r="D62" s="34" t="s">
        <v>44</v>
      </c>
      <c r="E62" s="35" t="s">
        <v>56</v>
      </c>
      <c r="F62" s="36">
        <f>SUM(G62:G62)</f>
        <v>0</v>
      </c>
      <c r="G62" s="36"/>
    </row>
    <row r="63" spans="1:7" x14ac:dyDescent="0.25">
      <c r="B63" s="48"/>
      <c r="C63" s="49" t="s">
        <v>93</v>
      </c>
      <c r="D63" s="50"/>
      <c r="E63" s="51"/>
      <c r="F63" s="45"/>
      <c r="G63" s="45"/>
    </row>
    <row r="64" spans="1:7" x14ac:dyDescent="0.25">
      <c r="B64" s="32">
        <v>45</v>
      </c>
      <c r="C64" s="53" t="s">
        <v>94</v>
      </c>
      <c r="D64" s="34" t="s">
        <v>44</v>
      </c>
      <c r="E64" s="35" t="s">
        <v>56</v>
      </c>
      <c r="F64" s="36">
        <f>SUM(G64:G64)</f>
        <v>0</v>
      </c>
      <c r="G64" s="36"/>
    </row>
    <row r="65" spans="2:7" x14ac:dyDescent="0.25">
      <c r="B65" s="58"/>
      <c r="C65" s="59" t="s">
        <v>95</v>
      </c>
      <c r="D65" s="60"/>
      <c r="E65" s="61"/>
      <c r="F65" s="62"/>
      <c r="G65" s="62"/>
    </row>
    <row r="66" spans="2:7" ht="14.85" customHeight="1" x14ac:dyDescent="0.25">
      <c r="B66" s="32">
        <v>46</v>
      </c>
      <c r="C66" s="53" t="s">
        <v>96</v>
      </c>
      <c r="D66" s="34" t="s">
        <v>44</v>
      </c>
      <c r="E66" s="35" t="s">
        <v>48</v>
      </c>
      <c r="F66" s="36">
        <f>SUM(G66:G66)</f>
        <v>340.75</v>
      </c>
      <c r="G66" s="36">
        <v>340.75</v>
      </c>
    </row>
    <row r="67" spans="2:7" x14ac:dyDescent="0.25">
      <c r="B67" s="63"/>
      <c r="C67" s="64"/>
      <c r="D67" s="64"/>
      <c r="E67" s="64"/>
      <c r="F67" s="64"/>
    </row>
    <row r="68" spans="2:7" ht="45" x14ac:dyDescent="0.25">
      <c r="C68" s="66" t="s">
        <v>97</v>
      </c>
      <c r="D68" s="65"/>
      <c r="E68" s="65"/>
      <c r="F68" s="65"/>
    </row>
    <row r="69" spans="2:7" x14ac:dyDescent="0.25">
      <c r="B69" s="23"/>
      <c r="C69" s="66"/>
      <c r="D69" s="65"/>
      <c r="E69" s="65"/>
    </row>
    <row r="70" spans="2:7" x14ac:dyDescent="0.25">
      <c r="B70" s="23"/>
      <c r="C70" s="66"/>
      <c r="D70" s="65"/>
      <c r="E70" s="65"/>
    </row>
    <row r="71" spans="2:7" x14ac:dyDescent="0.25">
      <c r="B71" s="23"/>
      <c r="C71" s="66"/>
      <c r="D71" s="65"/>
      <c r="E71" s="65"/>
    </row>
    <row r="72" spans="2:7" x14ac:dyDescent="0.25">
      <c r="B72" s="23"/>
      <c r="C72" s="67"/>
      <c r="D72" s="65"/>
      <c r="E72" s="65"/>
    </row>
    <row r="73" spans="2:7" x14ac:dyDescent="0.25">
      <c r="B73" s="23"/>
      <c r="C73" s="23"/>
      <c r="D73" s="23"/>
      <c r="E73" s="23"/>
    </row>
    <row r="74" spans="2:7" x14ac:dyDescent="0.25">
      <c r="B74" s="23"/>
      <c r="C74" s="23"/>
      <c r="D74" s="23"/>
      <c r="E74" s="23"/>
    </row>
    <row r="75" spans="2:7" x14ac:dyDescent="0.25">
      <c r="B75" s="23"/>
      <c r="C75" s="23"/>
      <c r="D75" s="23"/>
      <c r="E75" s="23"/>
    </row>
    <row r="76" spans="2:7" x14ac:dyDescent="0.25">
      <c r="B76" s="23"/>
      <c r="C76" s="23"/>
      <c r="D76" s="23"/>
      <c r="E76" s="23"/>
    </row>
    <row r="77" spans="2:7" x14ac:dyDescent="0.25">
      <c r="B77" s="23"/>
      <c r="C77" s="23"/>
      <c r="D77" s="23"/>
      <c r="E77" s="23"/>
    </row>
    <row r="78" spans="2:7" x14ac:dyDescent="0.25">
      <c r="B78" s="23"/>
      <c r="C78" s="23"/>
      <c r="D78" s="23"/>
      <c r="E78" s="23"/>
    </row>
    <row r="79" spans="2:7" x14ac:dyDescent="0.25">
      <c r="B79" s="23"/>
      <c r="C79" s="23"/>
      <c r="D79" s="23"/>
      <c r="E79" s="23"/>
    </row>
    <row r="80" spans="2:7" x14ac:dyDescent="0.25">
      <c r="B80" s="23"/>
      <c r="C80" s="23"/>
      <c r="D80" s="23"/>
      <c r="E80" s="23"/>
    </row>
    <row r="81" s="23" customFormat="1" x14ac:dyDescent="0.25"/>
    <row r="82" s="23" customFormat="1" x14ac:dyDescent="0.25"/>
    <row r="83" s="23" customFormat="1" x14ac:dyDescent="0.25"/>
    <row r="84" s="23" customFormat="1" x14ac:dyDescent="0.25"/>
    <row r="85" s="23" customFormat="1" x14ac:dyDescent="0.25"/>
    <row r="86" s="23" customFormat="1" x14ac:dyDescent="0.25"/>
    <row r="87" s="23" customFormat="1" x14ac:dyDescent="0.25"/>
    <row r="88" s="23" customFormat="1" x14ac:dyDescent="0.25"/>
    <row r="89" s="23" customFormat="1" x14ac:dyDescent="0.25"/>
    <row r="90" s="23" customFormat="1" x14ac:dyDescent="0.25"/>
    <row r="91" s="23" customFormat="1" x14ac:dyDescent="0.25"/>
    <row r="92" s="23" customFormat="1" x14ac:dyDescent="0.25"/>
    <row r="93" s="23" customFormat="1" x14ac:dyDescent="0.25"/>
    <row r="94" s="23" customFormat="1" x14ac:dyDescent="0.25"/>
    <row r="95" s="23" customFormat="1" x14ac:dyDescent="0.25"/>
    <row r="96" s="23" customFormat="1" x14ac:dyDescent="0.25"/>
    <row r="97" s="23" customFormat="1" x14ac:dyDescent="0.25"/>
    <row r="98" s="23" customFormat="1" x14ac:dyDescent="0.25"/>
    <row r="99" s="23" customFormat="1" x14ac:dyDescent="0.25"/>
    <row r="100" s="23" customFormat="1" x14ac:dyDescent="0.25"/>
    <row r="101" s="23" customFormat="1" x14ac:dyDescent="0.25"/>
    <row r="102" s="23" customFormat="1" x14ac:dyDescent="0.25"/>
    <row r="103" s="23" customFormat="1" x14ac:dyDescent="0.25"/>
    <row r="104" s="23" customFormat="1" x14ac:dyDescent="0.25"/>
    <row r="105" s="23" customFormat="1" x14ac:dyDescent="0.25"/>
    <row r="106" s="23" customFormat="1" x14ac:dyDescent="0.25"/>
    <row r="107" s="23" customFormat="1" x14ac:dyDescent="0.25"/>
    <row r="108" s="23" customFormat="1" x14ac:dyDescent="0.25"/>
    <row r="109" s="23" customFormat="1" x14ac:dyDescent="0.25"/>
    <row r="110" s="23" customFormat="1" x14ac:dyDescent="0.25"/>
    <row r="111" s="23" customFormat="1" x14ac:dyDescent="0.25"/>
    <row r="112" s="23" customFormat="1" x14ac:dyDescent="0.25"/>
    <row r="113" s="23" customFormat="1" x14ac:dyDescent="0.25"/>
    <row r="114" s="23" customFormat="1" x14ac:dyDescent="0.25"/>
    <row r="115" s="23" customFormat="1" x14ac:dyDescent="0.25"/>
    <row r="116" s="23" customFormat="1" x14ac:dyDescent="0.25"/>
    <row r="117" s="23" customFormat="1" x14ac:dyDescent="0.25"/>
    <row r="118" s="23" customFormat="1" x14ac:dyDescent="0.25"/>
    <row r="119" s="23" customFormat="1" x14ac:dyDescent="0.25"/>
    <row r="120" s="23" customFormat="1" x14ac:dyDescent="0.25"/>
    <row r="121" s="23" customFormat="1" x14ac:dyDescent="0.25"/>
    <row r="122" s="23" customFormat="1" x14ac:dyDescent="0.25"/>
    <row r="123" s="23" customFormat="1" x14ac:dyDescent="0.25"/>
    <row r="124" s="23" customFormat="1" x14ac:dyDescent="0.25"/>
    <row r="125" s="23" customFormat="1" x14ac:dyDescent="0.25"/>
    <row r="126" s="23" customFormat="1" x14ac:dyDescent="0.25"/>
    <row r="127" s="23" customFormat="1" x14ac:dyDescent="0.25"/>
    <row r="128" s="23" customFormat="1" x14ac:dyDescent="0.25"/>
    <row r="129" s="23" customFormat="1" x14ac:dyDescent="0.25"/>
    <row r="130" s="23" customFormat="1" x14ac:dyDescent="0.25"/>
    <row r="131" s="23" customFormat="1" x14ac:dyDescent="0.25"/>
    <row r="132" s="23" customFormat="1" x14ac:dyDescent="0.25"/>
    <row r="133" s="23" customFormat="1" x14ac:dyDescent="0.25"/>
    <row r="134" s="23" customFormat="1" x14ac:dyDescent="0.25"/>
    <row r="135" s="23" customFormat="1" x14ac:dyDescent="0.25"/>
    <row r="136" s="23" customFormat="1" x14ac:dyDescent="0.25"/>
    <row r="137" s="23" customFormat="1" x14ac:dyDescent="0.25"/>
    <row r="138" s="23" customFormat="1" x14ac:dyDescent="0.25"/>
    <row r="139" s="23" customFormat="1" x14ac:dyDescent="0.25"/>
    <row r="140" s="23" customFormat="1" x14ac:dyDescent="0.25"/>
    <row r="141" s="23" customFormat="1" x14ac:dyDescent="0.25"/>
    <row r="142" s="23" customFormat="1" x14ac:dyDescent="0.25"/>
    <row r="143" s="23" customFormat="1" x14ac:dyDescent="0.25"/>
    <row r="144" s="23" customFormat="1" x14ac:dyDescent="0.25"/>
    <row r="145" s="23" customFormat="1" x14ac:dyDescent="0.25"/>
    <row r="146" s="23" customFormat="1" x14ac:dyDescent="0.25"/>
    <row r="147" s="23" customFormat="1" x14ac:dyDescent="0.25"/>
    <row r="148" s="23" customFormat="1" x14ac:dyDescent="0.25"/>
    <row r="149" s="23" customFormat="1" x14ac:dyDescent="0.25"/>
    <row r="150" s="23" customFormat="1" x14ac:dyDescent="0.25"/>
    <row r="151" s="23" customFormat="1" x14ac:dyDescent="0.25"/>
    <row r="152" s="23" customFormat="1" x14ac:dyDescent="0.25"/>
    <row r="153" s="23" customFormat="1" x14ac:dyDescent="0.25"/>
    <row r="154" s="23" customFormat="1" x14ac:dyDescent="0.25"/>
    <row r="155" s="23" customFormat="1" x14ac:dyDescent="0.25"/>
    <row r="156" s="23" customFormat="1" x14ac:dyDescent="0.25"/>
    <row r="157" s="23" customFormat="1" x14ac:dyDescent="0.25"/>
    <row r="158" s="23" customFormat="1" x14ac:dyDescent="0.25"/>
    <row r="159" s="23" customFormat="1" x14ac:dyDescent="0.25"/>
    <row r="160" s="23" customFormat="1" x14ac:dyDescent="0.25"/>
    <row r="161" s="23" customFormat="1" x14ac:dyDescent="0.25"/>
    <row r="162" s="23" customFormat="1" x14ac:dyDescent="0.25"/>
    <row r="163" s="23" customFormat="1" x14ac:dyDescent="0.25"/>
    <row r="164" s="23" customFormat="1" x14ac:dyDescent="0.25"/>
    <row r="165" s="23" customFormat="1" x14ac:dyDescent="0.25"/>
    <row r="166" s="23" customFormat="1" x14ac:dyDescent="0.25"/>
    <row r="167" s="23" customFormat="1" x14ac:dyDescent="0.25"/>
    <row r="168" s="23" customFormat="1" x14ac:dyDescent="0.25"/>
    <row r="169" s="23" customFormat="1" x14ac:dyDescent="0.25"/>
    <row r="170" s="23" customFormat="1" x14ac:dyDescent="0.25"/>
    <row r="171" s="23" customFormat="1" x14ac:dyDescent="0.25"/>
    <row r="172" s="23" customFormat="1" x14ac:dyDescent="0.25"/>
    <row r="173" s="23" customFormat="1" x14ac:dyDescent="0.25"/>
    <row r="174" s="23" customFormat="1" x14ac:dyDescent="0.25"/>
    <row r="175" s="23" customFormat="1" x14ac:dyDescent="0.25"/>
    <row r="176" s="23" customFormat="1" x14ac:dyDescent="0.25"/>
    <row r="177" s="23" customFormat="1" x14ac:dyDescent="0.25"/>
    <row r="178" s="23" customFormat="1" x14ac:dyDescent="0.25"/>
    <row r="179" s="23" customFormat="1" x14ac:dyDescent="0.25"/>
    <row r="180" s="23" customFormat="1" x14ac:dyDescent="0.25"/>
    <row r="181" s="23" customFormat="1" x14ac:dyDescent="0.25"/>
    <row r="182" s="23" customFormat="1" x14ac:dyDescent="0.25"/>
    <row r="183" s="23" customFormat="1" x14ac:dyDescent="0.25"/>
    <row r="184" s="23" customFormat="1" x14ac:dyDescent="0.25"/>
    <row r="185" s="23" customFormat="1" x14ac:dyDescent="0.25"/>
    <row r="186" s="23" customFormat="1" x14ac:dyDescent="0.25"/>
    <row r="187" s="23" customFormat="1" x14ac:dyDescent="0.25"/>
    <row r="188" s="23" customFormat="1" x14ac:dyDescent="0.25"/>
    <row r="189" s="23" customFormat="1" x14ac:dyDescent="0.25"/>
    <row r="190" s="23" customFormat="1" x14ac:dyDescent="0.25"/>
    <row r="191" s="23" customFormat="1" x14ac:dyDescent="0.25"/>
    <row r="192" s="23" customFormat="1" x14ac:dyDescent="0.25"/>
    <row r="193" s="23" customFormat="1" x14ac:dyDescent="0.25"/>
    <row r="194" s="23" customFormat="1" x14ac:dyDescent="0.25"/>
    <row r="195" s="23" customFormat="1" x14ac:dyDescent="0.25"/>
    <row r="196" s="23" customFormat="1" x14ac:dyDescent="0.25"/>
    <row r="197" s="23" customFormat="1" x14ac:dyDescent="0.25"/>
    <row r="198" s="23" customFormat="1" x14ac:dyDescent="0.25"/>
    <row r="199" s="23" customFormat="1" x14ac:dyDescent="0.25"/>
    <row r="200" s="23" customFormat="1" x14ac:dyDescent="0.25"/>
    <row r="201" s="23" customFormat="1" x14ac:dyDescent="0.25"/>
    <row r="202" s="23" customFormat="1" x14ac:dyDescent="0.25"/>
    <row r="203" s="23" customFormat="1" x14ac:dyDescent="0.25"/>
    <row r="204" s="23" customFormat="1" x14ac:dyDescent="0.25"/>
    <row r="205" s="23" customFormat="1" x14ac:dyDescent="0.25"/>
    <row r="206" s="23" customFormat="1" x14ac:dyDescent="0.25"/>
    <row r="207" s="23" customFormat="1" x14ac:dyDescent="0.25"/>
    <row r="208" s="23" customFormat="1" x14ac:dyDescent="0.25"/>
    <row r="209" s="23" customFormat="1" x14ac:dyDescent="0.25"/>
    <row r="210" s="23" customFormat="1" x14ac:dyDescent="0.25"/>
    <row r="211" s="23" customFormat="1" x14ac:dyDescent="0.25"/>
    <row r="212" s="23" customFormat="1" x14ac:dyDescent="0.25"/>
    <row r="213" s="23" customFormat="1" x14ac:dyDescent="0.25"/>
    <row r="214" s="23" customFormat="1" x14ac:dyDescent="0.25"/>
    <row r="215" s="23" customFormat="1" x14ac:dyDescent="0.25"/>
    <row r="216" s="23" customFormat="1" x14ac:dyDescent="0.25"/>
    <row r="217" s="23" customFormat="1" x14ac:dyDescent="0.25"/>
    <row r="218" s="23" customFormat="1" x14ac:dyDescent="0.25"/>
    <row r="219" s="23" customFormat="1" x14ac:dyDescent="0.25"/>
    <row r="220" s="23" customFormat="1" x14ac:dyDescent="0.25"/>
    <row r="221" s="23" customFormat="1" x14ac:dyDescent="0.25"/>
    <row r="222" s="23" customFormat="1" x14ac:dyDescent="0.25"/>
    <row r="223" s="23" customFormat="1" x14ac:dyDescent="0.25"/>
    <row r="224" s="23" customFormat="1" x14ac:dyDescent="0.25"/>
    <row r="225" s="23" customFormat="1" x14ac:dyDescent="0.25"/>
    <row r="226" s="23" customFormat="1" x14ac:dyDescent="0.25"/>
    <row r="227" s="23" customFormat="1" x14ac:dyDescent="0.25"/>
    <row r="228" s="23" customFormat="1" x14ac:dyDescent="0.25"/>
    <row r="229" s="23" customFormat="1" x14ac:dyDescent="0.25"/>
    <row r="230" s="23" customFormat="1" x14ac:dyDescent="0.25"/>
    <row r="231" s="23" customFormat="1" x14ac:dyDescent="0.25"/>
    <row r="232" s="23" customFormat="1" x14ac:dyDescent="0.25"/>
    <row r="233" s="23" customFormat="1" x14ac:dyDescent="0.25"/>
    <row r="234" s="23" customFormat="1" x14ac:dyDescent="0.25"/>
    <row r="235" s="23" customFormat="1" x14ac:dyDescent="0.25"/>
    <row r="236" s="23" customFormat="1" x14ac:dyDescent="0.25"/>
    <row r="237" s="23" customFormat="1" x14ac:dyDescent="0.25"/>
    <row r="238" s="23" customFormat="1" x14ac:dyDescent="0.25"/>
    <row r="239" s="23" customFormat="1" x14ac:dyDescent="0.25"/>
    <row r="240" s="23" customFormat="1" x14ac:dyDescent="0.25"/>
    <row r="241" s="23" customFormat="1" x14ac:dyDescent="0.25"/>
    <row r="242" s="23" customFormat="1" x14ac:dyDescent="0.25"/>
    <row r="243" s="23" customFormat="1" x14ac:dyDescent="0.25"/>
    <row r="244" s="23" customFormat="1" x14ac:dyDescent="0.25"/>
    <row r="245" s="23" customFormat="1" x14ac:dyDescent="0.25"/>
    <row r="246" s="23" customFormat="1" x14ac:dyDescent="0.25"/>
    <row r="247" s="23" customFormat="1" x14ac:dyDescent="0.25"/>
    <row r="248" s="23" customFormat="1" x14ac:dyDescent="0.25"/>
    <row r="249" s="23" customFormat="1" x14ac:dyDescent="0.25"/>
    <row r="250" s="23" customFormat="1" x14ac:dyDescent="0.25"/>
    <row r="251" s="23" customFormat="1" x14ac:dyDescent="0.25"/>
    <row r="252" s="23" customFormat="1" x14ac:dyDescent="0.25"/>
    <row r="253" s="23" customFormat="1" x14ac:dyDescent="0.25"/>
    <row r="254" s="23" customFormat="1" x14ac:dyDescent="0.25"/>
    <row r="255" s="23" customFormat="1" x14ac:dyDescent="0.25"/>
    <row r="256" s="23" customFormat="1" x14ac:dyDescent="0.25"/>
    <row r="257" s="23" customFormat="1" x14ac:dyDescent="0.25"/>
    <row r="258" s="23" customFormat="1" x14ac:dyDescent="0.25"/>
    <row r="259" s="23" customFormat="1" x14ac:dyDescent="0.25"/>
    <row r="260" s="23" customFormat="1" x14ac:dyDescent="0.25"/>
    <row r="261" s="23" customFormat="1" x14ac:dyDescent="0.25"/>
    <row r="262" s="23" customFormat="1" x14ac:dyDescent="0.25"/>
    <row r="263" s="23" customFormat="1" x14ac:dyDescent="0.25"/>
    <row r="264" s="23" customFormat="1" x14ac:dyDescent="0.25"/>
    <row r="265" s="23" customFormat="1" x14ac:dyDescent="0.25"/>
    <row r="266" s="23" customFormat="1" x14ac:dyDescent="0.25"/>
    <row r="267" s="23" customFormat="1" x14ac:dyDescent="0.25"/>
    <row r="268" s="23" customFormat="1" x14ac:dyDescent="0.25"/>
    <row r="269" s="23" customFormat="1" x14ac:dyDescent="0.25"/>
    <row r="270" s="23" customFormat="1" x14ac:dyDescent="0.25"/>
    <row r="271" s="23" customFormat="1" x14ac:dyDescent="0.25"/>
    <row r="272" s="23" customFormat="1" x14ac:dyDescent="0.25"/>
    <row r="273" s="23" customFormat="1" x14ac:dyDescent="0.25"/>
    <row r="274" s="23" customFormat="1" x14ac:dyDescent="0.25"/>
    <row r="275" s="23" customFormat="1" x14ac:dyDescent="0.25"/>
    <row r="276" s="23" customFormat="1" x14ac:dyDescent="0.25"/>
    <row r="277" s="23" customFormat="1" x14ac:dyDescent="0.25"/>
    <row r="278" s="23" customFormat="1" x14ac:dyDescent="0.25"/>
    <row r="279" s="23" customFormat="1" x14ac:dyDescent="0.25"/>
    <row r="280" s="23" customFormat="1" x14ac:dyDescent="0.25"/>
    <row r="281" s="23" customFormat="1" x14ac:dyDescent="0.25"/>
    <row r="282" s="23" customFormat="1" x14ac:dyDescent="0.25"/>
    <row r="283" s="23" customFormat="1" x14ac:dyDescent="0.25"/>
    <row r="284" s="23" customFormat="1" x14ac:dyDescent="0.25"/>
    <row r="285" s="23" customFormat="1" x14ac:dyDescent="0.25"/>
    <row r="286" s="23" customFormat="1" x14ac:dyDescent="0.25"/>
    <row r="287" s="23" customFormat="1" x14ac:dyDescent="0.25"/>
    <row r="288" s="23" customFormat="1" x14ac:dyDescent="0.25"/>
    <row r="289" s="23" customFormat="1" x14ac:dyDescent="0.25"/>
    <row r="290" s="23" customFormat="1" x14ac:dyDescent="0.25"/>
    <row r="291" s="23" customFormat="1" x14ac:dyDescent="0.25"/>
    <row r="292" s="23" customFormat="1" x14ac:dyDescent="0.25"/>
    <row r="293" s="23" customFormat="1" x14ac:dyDescent="0.25"/>
    <row r="294" s="23" customFormat="1" x14ac:dyDescent="0.25"/>
    <row r="295" s="23" customFormat="1" x14ac:dyDescent="0.25"/>
    <row r="296" s="23" customFormat="1" x14ac:dyDescent="0.25"/>
    <row r="297" s="23" customFormat="1" x14ac:dyDescent="0.25"/>
    <row r="298" s="23" customFormat="1" x14ac:dyDescent="0.25"/>
    <row r="299" s="23" customFormat="1" x14ac:dyDescent="0.25"/>
    <row r="300" s="23" customFormat="1" x14ac:dyDescent="0.25"/>
    <row r="301" s="23" customFormat="1" x14ac:dyDescent="0.25"/>
    <row r="302" s="23" customFormat="1" x14ac:dyDescent="0.25"/>
    <row r="303" s="23" customFormat="1" x14ac:dyDescent="0.25"/>
    <row r="304" s="23" customFormat="1" x14ac:dyDescent="0.25"/>
    <row r="305" s="23" customFormat="1" x14ac:dyDescent="0.25"/>
    <row r="306" s="23" customFormat="1" x14ac:dyDescent="0.25"/>
    <row r="307" s="23" customFormat="1" x14ac:dyDescent="0.25"/>
    <row r="308" s="23" customFormat="1" x14ac:dyDescent="0.25"/>
    <row r="309" s="23" customFormat="1" x14ac:dyDescent="0.25"/>
    <row r="310" s="23" customFormat="1" x14ac:dyDescent="0.25"/>
    <row r="311" s="23" customFormat="1" x14ac:dyDescent="0.25"/>
    <row r="312" s="23" customFormat="1" x14ac:dyDescent="0.25"/>
    <row r="313" s="23" customFormat="1" x14ac:dyDescent="0.25"/>
    <row r="314" s="23" customFormat="1" x14ac:dyDescent="0.25"/>
    <row r="315" s="23" customFormat="1" x14ac:dyDescent="0.25"/>
    <row r="316" s="23" customFormat="1" x14ac:dyDescent="0.25"/>
    <row r="317" s="23" customFormat="1" x14ac:dyDescent="0.25"/>
    <row r="318" s="23" customFormat="1" x14ac:dyDescent="0.25"/>
    <row r="319" s="23" customFormat="1" x14ac:dyDescent="0.25"/>
    <row r="320" s="23" customFormat="1" x14ac:dyDescent="0.25"/>
    <row r="321" s="23" customFormat="1" x14ac:dyDescent="0.25"/>
    <row r="322" s="23" customFormat="1" x14ac:dyDescent="0.25"/>
    <row r="323" s="23" customFormat="1" x14ac:dyDescent="0.25"/>
    <row r="324" s="23" customFormat="1" x14ac:dyDescent="0.25"/>
    <row r="325" s="23" customFormat="1" x14ac:dyDescent="0.25"/>
    <row r="326" s="23" customFormat="1" x14ac:dyDescent="0.25"/>
    <row r="327" s="23" customFormat="1" x14ac:dyDescent="0.25"/>
    <row r="328" s="23" customFormat="1" x14ac:dyDescent="0.25"/>
    <row r="329" s="23" customFormat="1" x14ac:dyDescent="0.25"/>
    <row r="330" s="23" customFormat="1" x14ac:dyDescent="0.25"/>
    <row r="331" s="23" customFormat="1" x14ac:dyDescent="0.25"/>
    <row r="332" s="23" customFormat="1" x14ac:dyDescent="0.25"/>
    <row r="333" s="23" customFormat="1" x14ac:dyDescent="0.25"/>
    <row r="334" s="23" customFormat="1" x14ac:dyDescent="0.25"/>
    <row r="335" s="23" customFormat="1" x14ac:dyDescent="0.25"/>
    <row r="336" s="23" customFormat="1" x14ac:dyDescent="0.25"/>
    <row r="337" s="23" customFormat="1" x14ac:dyDescent="0.25"/>
    <row r="338" s="23" customFormat="1" x14ac:dyDescent="0.25"/>
    <row r="339" s="23" customFormat="1" x14ac:dyDescent="0.25"/>
    <row r="340" s="23" customFormat="1" x14ac:dyDescent="0.25"/>
    <row r="341" s="23" customFormat="1" x14ac:dyDescent="0.25"/>
  </sheetData>
  <mergeCells count="6">
    <mergeCell ref="G5:G6"/>
    <mergeCell ref="B5:B6"/>
    <mergeCell ref="C5:C6"/>
    <mergeCell ref="D5:D6"/>
    <mergeCell ref="E5:E6"/>
    <mergeCell ref="F5:F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Объем ОЦО</vt:lpstr>
      <vt:lpstr>По процессам</vt:lpstr>
      <vt:lpstr>'Объем ОЦО'!Область_печати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Мамаев Никита Сергеевич</dc:creator>
  <cp:lastModifiedBy>Мамаев Никита Сергеевич</cp:lastModifiedBy>
  <dcterms:created xsi:type="dcterms:W3CDTF">2015-06-05T18:19:34Z</dcterms:created>
  <dcterms:modified xsi:type="dcterms:W3CDTF">2026-08-04T11:12:58Z</dcterms:modified>
</cp:coreProperties>
</file>