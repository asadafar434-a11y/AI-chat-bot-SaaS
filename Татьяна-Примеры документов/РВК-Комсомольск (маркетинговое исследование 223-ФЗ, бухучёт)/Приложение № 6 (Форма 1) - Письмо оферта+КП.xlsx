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codeName="ЭтаКнига"/>
  <mc:AlternateContent xmlns:mc="http://schemas.openxmlformats.org/markup-compatibility/2006">
    <mc:Choice Requires="x15">
      <x15ac:absPath xmlns:x15ac="http://schemas.microsoft.com/office/spreadsheetml/2010/11/ac" url="C:\Users\o.chemodurova\Desktop\Консолидированные\ОЦО\ОЦО\"/>
    </mc:Choice>
  </mc:AlternateContent>
  <bookViews>
    <workbookView xWindow="-120" yWindow="-120" windowWidth="29040" windowHeight="15840" tabRatio="498"/>
  </bookViews>
  <sheets>
    <sheet name="П.6 оферта+КП" sheetId="3" r:id="rId1"/>
  </sheets>
  <externalReferences>
    <externalReference r:id="rId2"/>
  </externalReferences>
  <definedNames>
    <definedName name="_xlnm._FilterDatabase" localSheetId="0" hidden="1">'П.6 оферта+КП'!$A$17:$DI$53</definedName>
    <definedName name="Лизинг" localSheetId="0">'П.6 оферта+КП'!#REF!</definedName>
    <definedName name="Лизинг">#REF!</definedName>
    <definedName name="_xlnm.Print_Area" localSheetId="0">'П.6 оферта+КП'!$A$15:$L$68</definedName>
    <definedName name="СТАВКА_НДС">[1]СТАВКА_НДС!$A$2:$A$6</definedName>
  </definedNames>
  <calcPr calcId="162913"/>
</workbook>
</file>

<file path=xl/calcChain.xml><?xml version="1.0" encoding="utf-8"?>
<calcChain xmlns="http://schemas.openxmlformats.org/spreadsheetml/2006/main">
  <c r="H18" i="3" l="1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17" i="3" l="1"/>
  <c r="H45" i="3" s="1"/>
  <c r="H46" i="3" s="1"/>
  <c r="H47" i="3" l="1"/>
</calcChain>
</file>

<file path=xl/sharedStrings.xml><?xml version="1.0" encoding="utf-8"?>
<sst xmlns="http://schemas.openxmlformats.org/spreadsheetml/2006/main" count="159" uniqueCount="110">
  <si>
    <t>Коммерческое предложение</t>
  </si>
  <si>
    <t xml:space="preserve">Письмо о подаче оферты </t>
  </si>
  <si>
    <t>№________________________</t>
  </si>
  <si>
    <t>«_____»___________________ года</t>
  </si>
  <si>
    <t>Настоящее Предложение имеет правовой статус оферты и действует до «___» _________ 20___ года.</t>
  </si>
  <si>
    <t>ИНН участника</t>
  </si>
  <si>
    <t>Руководитель</t>
  </si>
  <si>
    <t>ФИО</t>
  </si>
  <si>
    <t>(наименование должности)</t>
  </si>
  <si>
    <t>подпись</t>
  </si>
  <si>
    <t>_____________________________________</t>
  </si>
  <si>
    <t>№</t>
  </si>
  <si>
    <t>Наименование услуги</t>
  </si>
  <si>
    <r>
      <t>Единица драйвера</t>
    </r>
    <r>
      <rPr>
        <b/>
        <vertAlign val="superscript"/>
        <sz val="11"/>
        <color theme="0"/>
        <rFont val="Arial"/>
        <family val="2"/>
        <charset val="204"/>
      </rPr>
      <t>1</t>
    </r>
  </si>
  <si>
    <t>Единица измерения драйвера</t>
  </si>
  <si>
    <r>
      <t>Метод подсчета объема драйвера</t>
    </r>
    <r>
      <rPr>
        <b/>
        <vertAlign val="superscript"/>
        <sz val="11"/>
        <color theme="0"/>
        <rFont val="Arial"/>
        <family val="2"/>
        <charset val="204"/>
      </rPr>
      <t>2</t>
    </r>
  </si>
  <si>
    <t>Оказание услуг по учету основных средств, незавершенного строительства и нематериальных активов</t>
  </si>
  <si>
    <t>Шт.</t>
  </si>
  <si>
    <t>Количество на конец отчетного месяца</t>
  </si>
  <si>
    <t>Оказание услуг по учету товарно-материальных ценностей</t>
  </si>
  <si>
    <t>Количество за месяц</t>
  </si>
  <si>
    <t>Оказание услуг по учету финансовых и банковских операций</t>
  </si>
  <si>
    <t>Оказание услуг по учету расчетов с покупателями по реализации услуг по водоснабжению и водоотведению, ПДК, негативное воздействие на сети</t>
  </si>
  <si>
    <t>Оказание услуг по учету расчетов с покупателями по реализации услуг по нетарифной деятельности</t>
  </si>
  <si>
    <t>Оказание услуг по учету расчетов с поставщиками и подрядчиками</t>
  </si>
  <si>
    <t>Оказание услуг по учету расчетов с персоналом по штатным сотрудникам</t>
  </si>
  <si>
    <t>Чел.</t>
  </si>
  <si>
    <t>Оказание услуг по учету расчетов с физическими лицами, работающими по договорам ГПХ</t>
  </si>
  <si>
    <t>Оказание услуг по учету расчетов с персоналом по штатным сотрудникам, работающим в обособленных подразделениях</t>
  </si>
  <si>
    <t>Оказание услуг по учету расчетов с подотчетными лицами</t>
  </si>
  <si>
    <r>
      <rPr>
        <i/>
        <vertAlign val="superscript"/>
        <sz val="11"/>
        <color theme="1"/>
        <rFont val="Arial"/>
        <family val="2"/>
        <charset val="204"/>
      </rPr>
      <t xml:space="preserve">1 </t>
    </r>
    <r>
      <rPr>
        <i/>
        <sz val="11"/>
        <color theme="1"/>
        <rFont val="Arial"/>
        <family val="2"/>
        <charset val="204"/>
      </rPr>
      <t>Драйвер – это показатель из модели трудозатрат ОЦО (документы, объекты учета, иные параметры, возникающие в хозяйственной деятельности Клиента), определив количественную величину которого, возможно определить объем оказываемой со стороны ОЦО услуги. Драйверы устанавливаются отдельно для каждого отдела ОЦО, непосредственно занятого в оказании услуг, количество драйверов для каждого отдела не может быть меньше 1.</t>
    </r>
  </si>
  <si>
    <t>В стоимость каждой услуги включены все расходы на организацию и выполнение процессов в соответствии с Приложением № 1 к Документации о закупке - Техническое задание, в том числе:
- закрытие периода и формирование отчетности;
- ведение методологии бухгалтерского и налогового учета и методологическая поддержка;
- управление эффективностью и качеством;
- вспомогательные процессы.</t>
  </si>
  <si>
    <t>не позднее 7 числа месяца, следующего за месяцем оказания услуг, при условии своевременного предоставления комплекта документов, предусмотренных п. 6.2 Договора.</t>
  </si>
  <si>
    <t>Итоговая стоимость услуг за 1-ый год обслуживания, без НДС, руб.</t>
  </si>
  <si>
    <t>Итоговая стоимость услуг за 2-ой год обслуживания, без НДС, руб.</t>
  </si>
  <si>
    <t xml:space="preserve">Объемы оказания услуг, указанные в Техническом задании, являются плановыми и используются только для оценки предложений Участников. </t>
  </si>
  <si>
    <t>Количество драйверов по п.п. 1-10 * 25%</t>
  </si>
  <si>
    <t>%</t>
  </si>
  <si>
    <t>Цена за 1 ед. драйвера,
без НДС, руб.</t>
  </si>
  <si>
    <r>
      <t>Оказание услуг по формированию бухгалтерской и налоговой отчетности, методологическому сопровождению бухгалтерского учета</t>
    </r>
    <r>
      <rPr>
        <b/>
        <vertAlign val="superscript"/>
        <sz val="11"/>
        <rFont val="Arial"/>
        <family val="2"/>
        <charset val="204"/>
      </rPr>
      <t>3</t>
    </r>
  </si>
  <si>
    <t xml:space="preserve">Количество объектов основных средств и незавершенного строительства собственных, концессионных, в аренде, лизинге, нематериальных активов </t>
  </si>
  <si>
    <t>Количество документов по движению ТМЦ</t>
  </si>
  <si>
    <t>Количество платежных поручений входящих и исходящих</t>
  </si>
  <si>
    <t xml:space="preserve">Количество документов по реализации (кроме ВиВ) </t>
  </si>
  <si>
    <t xml:space="preserve">Количество документов по реализации ВиВ (Акт об оказании производственных услуг) </t>
  </si>
  <si>
    <t xml:space="preserve">Количество документов поступления товаров и услуг </t>
  </si>
  <si>
    <t>Численность персонала компании (без учета сотрудников, работающих в обособленных подразделениях)</t>
  </si>
  <si>
    <t>Численность физических лиц, работающих по договору ГПХ</t>
  </si>
  <si>
    <t>Численность сотрудников, работающих в обособленных подразделениях</t>
  </si>
  <si>
    <t>Количество авансовых отчетов</t>
  </si>
  <si>
    <t>Сопровождение процессов взаимодействия ОЦО и Клиента</t>
  </si>
  <si>
    <t>Количество драйверов по п.п. 1-10</t>
  </si>
  <si>
    <t>Оказание услуг по согласованию заявок на оплату</t>
  </si>
  <si>
    <t>Количество заявок на оплату, поступающих на согласование в 1C:ERP</t>
  </si>
  <si>
    <t>шт. в мес.</t>
  </si>
  <si>
    <t>Оказание услуг по получени банковских выписок и их загрузке в учетные системы</t>
  </si>
  <si>
    <t>Количество полученных и загруженных в учетные системы банковских выписок</t>
  </si>
  <si>
    <t xml:space="preserve">Оказание услуг по подготовке реестров платежей </t>
  </si>
  <si>
    <t>Количество подготовленных реестров платежей в 1C:ERP</t>
  </si>
  <si>
    <t>Оказание услуг по открытию и сопровождению расчетных и иных счетов, заключению и сопровождению договоров на банковское обслуживание</t>
  </si>
  <si>
    <t>Открытие и сопровождение расчетных и иных счетов, заключение и сопровождение договоров на банковское обслуживание с Коэффициентом сложности 1</t>
  </si>
  <si>
    <t>шт. на дату</t>
  </si>
  <si>
    <t>Открытие и сопровождение расчетных и иных счетов, заключение и сопровождение договоров на банковское обслуживание с Коэффициентом сложности 2</t>
  </si>
  <si>
    <t>Оказание услуг по подготовке отчетов об остатках и поступлениях денежных средств</t>
  </si>
  <si>
    <t>Отчеты об остатках и поступлениях денежных средств, с Коэффициентом сложности с Коэффициентом сложности 1</t>
  </si>
  <si>
    <t>Отчеты об остатках и поступлениях денежных средств, с Коэффициентом сложности с Коэффициентом сложности 2</t>
  </si>
  <si>
    <t>Оказание услуг по заключению депозитных сделок</t>
  </si>
  <si>
    <t>Заключение депозитных сделок с Коэффициентом сложности 1</t>
  </si>
  <si>
    <t>Заключение депозитных сделок с Коэффициентом сложности 2</t>
  </si>
  <si>
    <t>Оказание услуг по формлению и сопровождению кредитных, обеспечительных договоров, займа, аккредитивов, банковских гарантий</t>
  </si>
  <si>
    <t>Количество кредитных, обеспечительных договоров, займа, аккредитивов, банковских гарантий на сопровождении с Коэффициентом сложности 1</t>
  </si>
  <si>
    <t>Количество кредитных, обеспечительных договоров, займа, аккредитивов, банковских гарантий на сопровождении с Коэффициентом сложности 2</t>
  </si>
  <si>
    <t>Количество кредитных, обеспечительных договоров, займа, аккредитивов, банковских гарантий на сопровождении с Коэффициентом сложности 3</t>
  </si>
  <si>
    <t>Количество кредитных, обеспечительных договоров, займа, аккредитивов, банковских гарантий на сопровождении с Коэффициентом сложности 4</t>
  </si>
  <si>
    <t>Проработка условий кредитования, оценка кредитных рисков в рамках вновь привлекаемого финансирования</t>
  </si>
  <si>
    <t>Проработка условий кредитования (Term-sheet, проекты договора,решения кредитного комитета банка), оценка кредитных рисков в рамках вновь привлекаемого финансирования</t>
  </si>
  <si>
    <t>Оказание услуг по подготовке финансовых мониторингов, вейверов</t>
  </si>
  <si>
    <t>Количество подготовленных в отчетном периоде документов по фин.мониторингам, вейверам</t>
  </si>
  <si>
    <t>Оказание услуг по подготовке консолидированных справок по кредитному портфелю</t>
  </si>
  <si>
    <t>Количество подготовленных консолидированных справок по кредитному портфелю</t>
  </si>
  <si>
    <r>
      <rPr>
        <i/>
        <vertAlign val="superscript"/>
        <sz val="11"/>
        <color theme="1"/>
        <rFont val="Arial"/>
        <family val="2"/>
        <charset val="204"/>
      </rPr>
      <t>4</t>
    </r>
    <r>
      <rPr>
        <i/>
        <sz val="11"/>
        <color theme="1"/>
        <rFont val="Arial"/>
        <family val="2"/>
        <charset val="204"/>
      </rPr>
      <t xml:space="preserve"> В ячейчках "Объем драйвера в месяц" указан предположительный объем драйвера на каждый месяц обслуживания</t>
    </r>
  </si>
  <si>
    <r>
      <t>Объем драйвера в месяц</t>
    </r>
    <r>
      <rPr>
        <b/>
        <vertAlign val="superscript"/>
        <sz val="11"/>
        <color theme="0"/>
        <rFont val="Arial"/>
        <family val="2"/>
        <charset val="204"/>
      </rPr>
      <t>4, 2</t>
    </r>
  </si>
  <si>
    <t>Стоимость услуги 
в месяц,
 без НДС, руб.</t>
  </si>
  <si>
    <r>
      <rPr>
        <i/>
        <vertAlign val="superscript"/>
        <sz val="11"/>
        <rFont val="Arial"/>
        <family val="2"/>
        <charset val="204"/>
      </rPr>
      <t>2</t>
    </r>
    <r>
      <rPr>
        <i/>
        <sz val="11"/>
        <rFont val="Arial"/>
        <family val="2"/>
        <charset val="204"/>
      </rPr>
      <t xml:space="preserve">В таблице указаны данные по объемным показателям процесса за месяц по всем процессам,  в том числе по процессам учета основных средств и расчетам с персоналом .
 Для расчета стоимости предполагается, что в каждый год обслуживания показатели останутся на том же уровне. </t>
    </r>
  </si>
  <si>
    <t>Уважаемые господа!</t>
  </si>
  <si>
    <r>
      <t>Изучив извещение о проведении закупки (Извещение № ______________), опубликованное на сайте электронной площадки www.etp.gpb.ru  и официальном сайте www.zakupki.gov.ru, и документацию о закупке, а также принимая установленные в них требования и условия закупки, предлагаем заключить договор на оказание услуг _____________(</t>
    </r>
    <r>
      <rPr>
        <i/>
        <sz val="11"/>
        <color rgb="FFFF0000"/>
        <rFont val="Arial"/>
        <family val="2"/>
        <charset val="204"/>
      </rPr>
      <t>указать предмет закупки</t>
    </r>
    <r>
      <rPr>
        <sz val="11"/>
        <rFont val="Arial"/>
        <family val="2"/>
        <charset val="204"/>
      </rPr>
      <t>) на условиях и в соответствии с коммерческим и техническим предложениями, являющимися неотъемлемыми приложениями к настоящему письму.</t>
    </r>
  </si>
  <si>
    <t>Наименование участника с указанием организационно-правовой формы</t>
  </si>
  <si>
    <t>Юридический адрес участника</t>
  </si>
  <si>
    <t>Срок действия оферты должен составлять не менее 120 календарных дней с момента окончания срока подачи заявок на участие в закупке</t>
  </si>
  <si>
    <t>Приложение № 6 (Форма 1) к документации о закупке</t>
  </si>
  <si>
    <r>
      <rPr>
        <i/>
        <vertAlign val="superscript"/>
        <sz val="11"/>
        <rFont val="Arial"/>
        <family val="2"/>
        <charset val="204"/>
      </rPr>
      <t>3</t>
    </r>
    <r>
      <rPr>
        <i/>
        <sz val="11"/>
        <rFont val="Arial"/>
        <family val="2"/>
        <charset val="204"/>
      </rPr>
      <t xml:space="preserve"> Объем драйвера составляет 25% от объема операций 1-10 драйверы, расчитывается ежемесячно. Включает в себя услуги по формированию бухгалтерской и налоговой отчетности, методологическому и консультационному сопровождению бухгалтерского учета, сопровождение аудиторских, налоговых проверок, ведение НСИ и прочие услуги.
 </t>
    </r>
  </si>
  <si>
    <t>с момента заключения договора по 31.12.2027 г.</t>
  </si>
  <si>
    <t>Условия оказания услуг</t>
  </si>
  <si>
    <t>Срок оказания услуг</t>
  </si>
  <si>
    <t>Заполнить</t>
  </si>
  <si>
    <t>Условия и срок оплаты</t>
  </si>
  <si>
    <t>Гарантийный срок на оказанные услуги</t>
  </si>
  <si>
    <t>Срок устранения недостатков, выявленных в течение гарантийного срока</t>
  </si>
  <si>
    <t>Заполнить, указать конкретный срок в месяцах</t>
  </si>
  <si>
    <t>Информация о намерении Участника привлекать соисполнителя(-ей)</t>
  </si>
  <si>
    <t>объем и наименование услуг, передаваемых соисполнителю(-ям), составляет _____ % от общей суммы договора,
(указать наименование привлекаемой организации, список используемого оборудования, информацию о кадровом составе и т.п.)</t>
  </si>
  <si>
    <t>Информация о системе налогообложения участника</t>
  </si>
  <si>
    <t>Дополнительная информация</t>
  </si>
  <si>
    <t>Порядок формирования стоиомсти услуг</t>
  </si>
  <si>
    <t>Порядок пересмотра стоиомсти услуг</t>
  </si>
  <si>
    <t>Объем указания услуг</t>
  </si>
  <si>
    <t>Договор заключается с каждым Заказчиком на ориентировочную сумму равную начальной (максимальной) цене договора</t>
  </si>
  <si>
    <t>Итого за срок действия договора, без НДС, руб.</t>
  </si>
  <si>
    <t>С учетом 1/2 ИПЦ (прогноз 5,12%) на 2-ой год обслуживания</t>
  </si>
  <si>
    <t>Цена за 1 ед. драйвера, указанная участником при подаче заявки на участие в процедуре закупки с учетом процедур приема новых коммерческих предложений, является фиксированной на 2026 год. 
Пересмотр цены на последующие периоды осуществляется в соответствии с порядком, установленным Проектом договора, и составляет 1/2 ИПЦ, опубликованного Министерством экономического развития Российской Федерации, соответствующего года обсулживания. 
Для оценки предложения принимается ИПЦ на 2027 год равный 5,12%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</si>
</sst>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-* #,##0.00\ _₽_-;\-* #,##0.00\ _₽_-;_-* &quot;-&quot;??\ _₽_-;_-@_-"/>
    <numFmt numFmtId="165" formatCode="#,##0.00_ ;\-#,##0.00\ "/>
    <numFmt numFmtId="166" formatCode="#,##0_ ;\-#,##0\ "/>
  </numFmts>
  <fonts count="32" x14ac:knownFonts="1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charset val="204"/>
    </font>
    <font>
      <b/>
      <sz val="12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sz val="12"/>
      <name val="Arial"/>
      <family val="2"/>
      <charset val="204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0"/>
      <name val="Arial"/>
      <family val="2"/>
      <charset val="204"/>
    </font>
    <font>
      <b/>
      <vertAlign val="superscript"/>
      <sz val="11"/>
      <color theme="0"/>
      <name val="Arial"/>
      <family val="2"/>
      <charset val="204"/>
    </font>
    <font>
      <b/>
      <sz val="11"/>
      <name val="Arial"/>
      <family val="2"/>
      <charset val="204"/>
    </font>
    <font>
      <sz val="11"/>
      <name val="Arial"/>
      <family val="2"/>
      <charset val="204"/>
    </font>
    <font>
      <sz val="11"/>
      <color theme="1"/>
      <name val="Arial"/>
      <family val="2"/>
      <charset val="204"/>
    </font>
    <font>
      <b/>
      <i/>
      <sz val="11"/>
      <color theme="1"/>
      <name val="Calibri"/>
      <family val="2"/>
      <charset val="204"/>
      <scheme val="minor"/>
    </font>
    <font>
      <i/>
      <sz val="11"/>
      <name val="Arial"/>
      <family val="2"/>
      <charset val="204"/>
    </font>
    <font>
      <i/>
      <vertAlign val="superscript"/>
      <sz val="11"/>
      <name val="Arial"/>
      <family val="2"/>
      <charset val="204"/>
    </font>
    <font>
      <i/>
      <sz val="11"/>
      <color theme="1"/>
      <name val="Arial"/>
      <family val="2"/>
      <charset val="204"/>
    </font>
    <font>
      <i/>
      <vertAlign val="superscript"/>
      <sz val="11"/>
      <color theme="1"/>
      <name val="Arial"/>
      <family val="2"/>
      <charset val="204"/>
    </font>
    <font>
      <b/>
      <i/>
      <sz val="11"/>
      <color theme="1"/>
      <name val="Arial"/>
      <family val="2"/>
      <charset val="204"/>
    </font>
    <font>
      <b/>
      <vertAlign val="superscript"/>
      <sz val="11"/>
      <name val="Arial"/>
      <family val="2"/>
      <charset val="204"/>
    </font>
    <font>
      <b/>
      <sz val="11"/>
      <color theme="1"/>
      <name val="Arial"/>
      <family val="2"/>
      <charset val="204"/>
    </font>
    <font>
      <b/>
      <i/>
      <sz val="11"/>
      <color rgb="FFFF0000"/>
      <name val="Arial"/>
      <family val="2"/>
      <charset val="204"/>
    </font>
    <font>
      <b/>
      <i/>
      <sz val="12"/>
      <name val="Arial"/>
      <family val="2"/>
      <charset val="204"/>
    </font>
    <font>
      <i/>
      <sz val="11"/>
      <color rgb="FFFF0000"/>
      <name val="Arial"/>
      <family val="2"/>
      <charset val="204"/>
    </font>
    <font>
      <i/>
      <sz val="10"/>
      <color rgb="FFFF0000"/>
      <name val="Arial"/>
      <family val="2"/>
      <charset val="204"/>
    </font>
    <font>
      <b/>
      <sz val="12"/>
      <name val="Arial"/>
      <family val="2"/>
      <charset val="204"/>
    </font>
    <font>
      <b/>
      <i/>
      <sz val="11"/>
      <color rgb="FF0070C0"/>
      <name val="Arial"/>
      <family val="2"/>
      <charset val="204"/>
    </font>
    <font>
      <sz val="11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34">
    <xf numFmtId="0" fontId="0" fillId="0" borderId="0"/>
    <xf numFmtId="0" fontId="3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" fillId="0" borderId="0"/>
    <xf numFmtId="9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1" fillId="0" borderId="0"/>
    <xf numFmtId="43" fontId="11" fillId="0" borderId="0" applyFont="0" applyFill="0" applyBorder="0" applyAlignment="0" applyProtection="0"/>
  </cellStyleXfs>
  <cellXfs count="93">
    <xf numFmtId="0" fontId="0" fillId="0" borderId="0" xfId="0"/>
    <xf numFmtId="0" fontId="7" fillId="0" borderId="0" xfId="16" applyFont="1" applyAlignment="1">
      <alignment horizontal="left" vertical="center"/>
    </xf>
    <xf numFmtId="0" fontId="7" fillId="0" borderId="0" xfId="16" applyFont="1" applyAlignment="1">
      <alignment horizontal="center"/>
    </xf>
    <xf numFmtId="0" fontId="7" fillId="0" borderId="0" xfId="16" applyFont="1"/>
    <xf numFmtId="0" fontId="5" fillId="0" borderId="0" xfId="16" applyFont="1" applyAlignment="1">
      <alignment wrapText="1"/>
    </xf>
    <xf numFmtId="0" fontId="7" fillId="0" borderId="0" xfId="0" applyFont="1" applyAlignment="1">
      <alignment wrapText="1"/>
    </xf>
    <xf numFmtId="0" fontId="7" fillId="0" borderId="0" xfId="15" applyFont="1" applyAlignment="1">
      <alignment horizontal="left" vertical="center" wrapText="1"/>
    </xf>
    <xf numFmtId="0" fontId="5" fillId="0" borderId="0" xfId="16" applyFont="1" applyAlignment="1">
      <alignment horizontal="center" wrapText="1"/>
    </xf>
    <xf numFmtId="0" fontId="5" fillId="0" borderId="0" xfId="15" applyFont="1" applyAlignment="1">
      <alignment horizontal="left" vertical="center" wrapText="1"/>
    </xf>
    <xf numFmtId="0" fontId="8" fillId="0" borderId="0" xfId="16" applyFont="1" applyAlignment="1">
      <alignment vertical="center"/>
    </xf>
    <xf numFmtId="0" fontId="9" fillId="0" borderId="0" xfId="16" applyFont="1"/>
    <xf numFmtId="0" fontId="17" fillId="0" borderId="0" xfId="31" applyFont="1" applyAlignment="1">
      <alignment horizontal="centerContinuous"/>
    </xf>
    <xf numFmtId="0" fontId="17" fillId="0" borderId="0" xfId="31" applyFont="1" applyAlignment="1">
      <alignment horizontal="centerContinuous" wrapText="1"/>
    </xf>
    <xf numFmtId="165" fontId="17" fillId="0" borderId="0" xfId="33" applyNumberFormat="1" applyFont="1" applyFill="1" applyBorder="1" applyAlignment="1">
      <alignment horizontal="center"/>
    </xf>
    <xf numFmtId="0" fontId="11" fillId="0" borderId="0" xfId="31"/>
    <xf numFmtId="0" fontId="14" fillId="5" borderId="2" xfId="32" applyFont="1" applyFill="1" applyBorder="1" applyAlignment="1">
      <alignment horizontal="centerContinuous" vertical="center"/>
    </xf>
    <xf numFmtId="0" fontId="15" fillId="5" borderId="2" xfId="31" applyFont="1" applyFill="1" applyBorder="1" applyAlignment="1">
      <alignment horizontal="center" vertical="center" wrapText="1"/>
    </xf>
    <xf numFmtId="0" fontId="15" fillId="5" borderId="2" xfId="32" applyFont="1" applyFill="1" applyBorder="1" applyAlignment="1">
      <alignment horizontal="center" vertical="center" wrapText="1"/>
    </xf>
    <xf numFmtId="165" fontId="15" fillId="0" borderId="2" xfId="33" applyNumberFormat="1" applyFont="1" applyFill="1" applyBorder="1" applyAlignment="1">
      <alignment horizontal="center" vertical="center" wrapText="1"/>
    </xf>
    <xf numFmtId="0" fontId="14" fillId="5" borderId="2" xfId="32" applyFont="1" applyFill="1" applyBorder="1" applyAlignment="1">
      <alignment horizontal="left" vertical="center" wrapText="1"/>
    </xf>
    <xf numFmtId="165" fontId="16" fillId="0" borderId="2" xfId="33" applyNumberFormat="1" applyFont="1" applyFill="1" applyBorder="1" applyAlignment="1" applyProtection="1">
      <alignment horizontal="center" vertical="center"/>
      <protection locked="0"/>
    </xf>
    <xf numFmtId="0" fontId="14" fillId="5" borderId="2" xfId="32" applyFont="1" applyFill="1" applyBorder="1" applyAlignment="1">
      <alignment vertical="center" wrapText="1"/>
    </xf>
    <xf numFmtId="0" fontId="17" fillId="0" borderId="2" xfId="31" applyFont="1" applyBorder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9" fillId="0" borderId="0" xfId="16" applyFont="1" applyAlignment="1" applyProtection="1">
      <alignment wrapText="1"/>
      <protection locked="0"/>
    </xf>
    <xf numFmtId="0" fontId="9" fillId="0" borderId="0" xfId="16" applyFont="1" applyProtection="1">
      <protection locked="0"/>
    </xf>
    <xf numFmtId="166" fontId="15" fillId="0" borderId="2" xfId="33" applyNumberFormat="1" applyFont="1" applyFill="1" applyBorder="1" applyAlignment="1">
      <alignment horizontal="center" vertical="center"/>
    </xf>
    <xf numFmtId="165" fontId="22" fillId="0" borderId="2" xfId="33" applyNumberFormat="1" applyFont="1" applyBorder="1" applyAlignment="1">
      <alignment horizontal="center" vertical="center"/>
    </xf>
    <xf numFmtId="165" fontId="22" fillId="0" borderId="2" xfId="33" applyNumberFormat="1" applyFont="1" applyFill="1" applyBorder="1" applyAlignment="1">
      <alignment horizontal="center" vertical="center"/>
    </xf>
    <xf numFmtId="0" fontId="15" fillId="5" borderId="3" xfId="32" applyFont="1" applyFill="1" applyBorder="1" applyAlignment="1">
      <alignment horizontal="center" vertical="center" wrapText="1"/>
    </xf>
    <xf numFmtId="0" fontId="12" fillId="6" borderId="2" xfId="31" applyFont="1" applyFill="1" applyBorder="1" applyAlignment="1">
      <alignment horizontal="center" vertical="center" wrapText="1"/>
    </xf>
    <xf numFmtId="0" fontId="14" fillId="5" borderId="6" xfId="31" applyFont="1" applyFill="1" applyBorder="1" applyAlignment="1">
      <alignment vertical="center" wrapText="1"/>
    </xf>
    <xf numFmtId="0" fontId="15" fillId="5" borderId="6" xfId="31" applyFont="1" applyFill="1" applyBorder="1" applyAlignment="1">
      <alignment horizontal="center" vertical="center" wrapText="1"/>
    </xf>
    <xf numFmtId="0" fontId="15" fillId="5" borderId="6" xfId="32" applyFont="1" applyFill="1" applyBorder="1" applyAlignment="1">
      <alignment horizontal="center" vertical="center" wrapText="1"/>
    </xf>
    <xf numFmtId="165" fontId="15" fillId="0" borderId="6" xfId="33" applyNumberFormat="1" applyFont="1" applyFill="1" applyBorder="1" applyAlignment="1" applyProtection="1">
      <alignment horizontal="center" vertical="center" wrapText="1"/>
      <protection locked="0"/>
    </xf>
    <xf numFmtId="0" fontId="24" fillId="5" borderId="6" xfId="32" applyFont="1" applyFill="1" applyBorder="1" applyAlignment="1">
      <alignment horizontal="left" vertical="center" wrapText="1"/>
    </xf>
    <xf numFmtId="0" fontId="16" fillId="5" borderId="6" xfId="32" applyFont="1" applyFill="1" applyBorder="1" applyAlignment="1">
      <alignment horizontal="center" vertical="center" wrapText="1"/>
    </xf>
    <xf numFmtId="0" fontId="16" fillId="5" borderId="1" xfId="32" applyFont="1" applyFill="1" applyBorder="1" applyAlignment="1">
      <alignment horizontal="center" vertical="center" wrapText="1"/>
    </xf>
    <xf numFmtId="165" fontId="16" fillId="0" borderId="6" xfId="33" applyNumberFormat="1" applyFont="1" applyFill="1" applyBorder="1" applyAlignment="1" applyProtection="1">
      <alignment horizontal="center" vertical="center"/>
      <protection locked="0"/>
    </xf>
    <xf numFmtId="165" fontId="16" fillId="2" borderId="2" xfId="33" applyNumberFormat="1" applyFont="1" applyFill="1" applyBorder="1" applyAlignment="1" applyProtection="1">
      <alignment horizontal="center" vertical="center"/>
      <protection locked="0"/>
    </xf>
    <xf numFmtId="0" fontId="14" fillId="5" borderId="6" xfId="31" applyFont="1" applyFill="1" applyBorder="1" applyAlignment="1">
      <alignment horizontal="left" vertical="center" wrapText="1"/>
    </xf>
    <xf numFmtId="0" fontId="14" fillId="5" borderId="8" xfId="31" applyFont="1" applyFill="1" applyBorder="1" applyAlignment="1">
      <alignment vertical="center" wrapText="1"/>
    </xf>
    <xf numFmtId="0" fontId="15" fillId="5" borderId="7" xfId="32" applyFont="1" applyFill="1" applyBorder="1" applyAlignment="1">
      <alignment horizontal="center" vertical="center" wrapText="1"/>
    </xf>
    <xf numFmtId="0" fontId="15" fillId="5" borderId="9" xfId="32" applyFont="1" applyFill="1" applyBorder="1" applyAlignment="1">
      <alignment horizontal="center" vertical="center" wrapText="1"/>
    </xf>
    <xf numFmtId="165" fontId="16" fillId="0" borderId="7" xfId="33" applyNumberFormat="1" applyFont="1" applyFill="1" applyBorder="1" applyAlignment="1" applyProtection="1">
      <alignment horizontal="center" vertical="center"/>
      <protection locked="0"/>
    </xf>
    <xf numFmtId="0" fontId="15" fillId="0" borderId="0" xfId="16" applyFont="1"/>
    <xf numFmtId="0" fontId="25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0" fontId="15" fillId="0" borderId="0" xfId="16" applyFont="1" applyAlignment="1">
      <alignment horizontal="right" vertical="center"/>
    </xf>
    <xf numFmtId="0" fontId="15" fillId="0" borderId="0" xfId="0" applyFont="1" applyAlignment="1">
      <alignment horizontal="left" vertical="center"/>
    </xf>
    <xf numFmtId="0" fontId="15" fillId="0" borderId="0" xfId="16" applyFont="1" applyAlignment="1">
      <alignment horizontal="center"/>
    </xf>
    <xf numFmtId="0" fontId="27" fillId="0" borderId="0" xfId="16" applyFont="1" applyAlignment="1">
      <alignment horizontal="center" wrapText="1"/>
    </xf>
    <xf numFmtId="0" fontId="29" fillId="0" borderId="0" xfId="16" applyFont="1" applyAlignment="1">
      <alignment horizontal="center"/>
    </xf>
    <xf numFmtId="0" fontId="30" fillId="0" borderId="0" xfId="31" applyFont="1" applyAlignment="1">
      <alignment horizontal="centerContinuous" wrapText="1"/>
    </xf>
    <xf numFmtId="0" fontId="30" fillId="0" borderId="0" xfId="31" applyFont="1" applyAlignment="1">
      <alignment horizontal="centerContinuous"/>
    </xf>
    <xf numFmtId="166" fontId="30" fillId="0" borderId="0" xfId="33" applyNumberFormat="1" applyFont="1" applyFill="1" applyBorder="1" applyAlignment="1">
      <alignment horizontal="center"/>
    </xf>
    <xf numFmtId="165" fontId="30" fillId="0" borderId="0" xfId="33" applyNumberFormat="1" applyFont="1" applyFill="1" applyBorder="1" applyAlignment="1">
      <alignment horizontal="center"/>
    </xf>
    <xf numFmtId="0" fontId="22" fillId="0" borderId="0" xfId="31" applyFont="1" applyAlignment="1">
      <alignment horizontal="centerContinuous" wrapText="1"/>
    </xf>
    <xf numFmtId="0" fontId="16" fillId="0" borderId="0" xfId="31" applyFont="1"/>
    <xf numFmtId="0" fontId="15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29" fillId="0" borderId="0" xfId="16" applyFont="1" applyAlignment="1">
      <alignment horizontal="left"/>
    </xf>
    <xf numFmtId="0" fontId="15" fillId="0" borderId="0" xfId="16" applyFont="1" applyAlignment="1">
      <alignment horizontal="left"/>
    </xf>
    <xf numFmtId="4" fontId="15" fillId="0" borderId="0" xfId="16" applyNumberFormat="1" applyFont="1" applyAlignment="1">
      <alignment horizontal="center"/>
    </xf>
    <xf numFmtId="166" fontId="15" fillId="2" borderId="2" xfId="33" applyNumberFormat="1" applyFont="1" applyFill="1" applyBorder="1" applyAlignment="1">
      <alignment horizontal="center" vertical="center" wrapText="1"/>
    </xf>
    <xf numFmtId="0" fontId="14" fillId="0" borderId="2" xfId="16" applyFont="1" applyBorder="1" applyAlignment="1">
      <alignment horizontal="left" vertical="center" wrapText="1"/>
    </xf>
    <xf numFmtId="0" fontId="15" fillId="4" borderId="4" xfId="15" applyFont="1" applyFill="1" applyBorder="1" applyAlignment="1">
      <alignment horizontal="left" vertical="center" wrapText="1"/>
    </xf>
    <xf numFmtId="0" fontId="15" fillId="4" borderId="3" xfId="15" applyFont="1" applyFill="1" applyBorder="1" applyAlignment="1">
      <alignment horizontal="left" vertical="center" wrapText="1"/>
    </xf>
    <xf numFmtId="0" fontId="15" fillId="4" borderId="5" xfId="15" applyFont="1" applyFill="1" applyBorder="1" applyAlignment="1">
      <alignment horizontal="left" vertical="center" wrapText="1"/>
    </xf>
    <xf numFmtId="0" fontId="31" fillId="4" borderId="4" xfId="15" applyFont="1" applyFill="1" applyBorder="1" applyAlignment="1">
      <alignment horizontal="left" vertical="center" wrapText="1"/>
    </xf>
    <xf numFmtId="0" fontId="31" fillId="4" borderId="3" xfId="15" applyFont="1" applyFill="1" applyBorder="1" applyAlignment="1">
      <alignment horizontal="left" vertical="center" wrapText="1"/>
    </xf>
    <xf numFmtId="0" fontId="31" fillId="4" borderId="5" xfId="15" applyFont="1" applyFill="1" applyBorder="1" applyAlignment="1">
      <alignment horizontal="left" vertical="center" wrapText="1"/>
    </xf>
    <xf numFmtId="0" fontId="28" fillId="0" borderId="0" xfId="16" applyFont="1" applyAlignment="1">
      <alignment horizontal="center" wrapText="1"/>
    </xf>
    <xf numFmtId="0" fontId="5" fillId="0" borderId="1" xfId="16" applyFont="1" applyBorder="1" applyAlignment="1">
      <alignment horizontal="left" wrapText="1"/>
    </xf>
    <xf numFmtId="0" fontId="18" fillId="0" borderId="0" xfId="31" applyFont="1" applyAlignment="1">
      <alignment horizontal="left" vertical="top" wrapText="1"/>
    </xf>
    <xf numFmtId="0" fontId="20" fillId="0" borderId="0" xfId="31" applyFont="1" applyAlignment="1">
      <alignment horizontal="left" vertical="top" wrapText="1"/>
    </xf>
    <xf numFmtId="0" fontId="17" fillId="0" borderId="2" xfId="31" applyFont="1" applyBorder="1" applyAlignment="1">
      <alignment horizontal="center" vertical="center"/>
    </xf>
    <xf numFmtId="0" fontId="17" fillId="0" borderId="3" xfId="31" applyFont="1" applyBorder="1" applyAlignment="1">
      <alignment horizontal="center" vertical="center"/>
    </xf>
    <xf numFmtId="0" fontId="17" fillId="0" borderId="5" xfId="31" applyFont="1" applyBorder="1" applyAlignment="1">
      <alignment horizontal="center" vertical="center"/>
    </xf>
    <xf numFmtId="0" fontId="29" fillId="0" borderId="0" xfId="16" applyFont="1" applyAlignment="1">
      <alignment horizontal="center"/>
    </xf>
    <xf numFmtId="0" fontId="14" fillId="5" borderId="7" xfId="31" applyFont="1" applyFill="1" applyBorder="1" applyAlignment="1">
      <alignment horizontal="left" vertical="center" wrapText="1"/>
    </xf>
    <xf numFmtId="0" fontId="14" fillId="5" borderId="6" xfId="31" applyFont="1" applyFill="1" applyBorder="1" applyAlignment="1">
      <alignment horizontal="left" vertical="center" wrapText="1"/>
    </xf>
    <xf numFmtId="0" fontId="14" fillId="5" borderId="8" xfId="31" applyFont="1" applyFill="1" applyBorder="1" applyAlignment="1">
      <alignment horizontal="left" vertical="center" wrapText="1"/>
    </xf>
    <xf numFmtId="0" fontId="15" fillId="0" borderId="2" xfId="16" applyFont="1" applyBorder="1" applyAlignment="1">
      <alignment horizontal="left"/>
    </xf>
    <xf numFmtId="0" fontId="15" fillId="3" borderId="2" xfId="16" applyFont="1" applyFill="1" applyBorder="1" applyAlignment="1">
      <alignment horizontal="center"/>
    </xf>
    <xf numFmtId="0" fontId="14" fillId="0" borderId="9" xfId="16" applyFont="1" applyBorder="1" applyAlignment="1">
      <alignment horizontal="center" wrapText="1"/>
    </xf>
    <xf numFmtId="0" fontId="14" fillId="0" borderId="0" xfId="16" applyFont="1" applyAlignment="1">
      <alignment horizontal="center" wrapText="1"/>
    </xf>
    <xf numFmtId="0" fontId="26" fillId="0" borderId="0" xfId="0" applyFont="1" applyAlignment="1">
      <alignment horizontal="center" vertical="center"/>
    </xf>
    <xf numFmtId="0" fontId="15" fillId="0" borderId="0" xfId="16" applyFont="1" applyAlignment="1">
      <alignment horizontal="center"/>
    </xf>
    <xf numFmtId="0" fontId="15" fillId="0" borderId="0" xfId="16" applyFont="1" applyAlignment="1">
      <alignment horizontal="center" vertical="center" wrapText="1"/>
    </xf>
    <xf numFmtId="0" fontId="15" fillId="0" borderId="2" xfId="16" applyFont="1" applyBorder="1" applyAlignment="1">
      <alignment horizontal="left" vertical="center" wrapText="1"/>
    </xf>
    <xf numFmtId="0" fontId="9" fillId="0" borderId="0" xfId="16" applyFont="1" applyAlignment="1" applyProtection="1">
      <alignment horizontal="center"/>
      <protection locked="0"/>
    </xf>
    <xf numFmtId="0" fontId="14" fillId="0" borderId="2" xfId="16" applyFont="1" applyBorder="1" applyAlignment="1">
      <alignment horizontal="left" vertical="center"/>
    </xf>
  </cellXfs>
  <cellStyles count="34">
    <cellStyle name="Comma 2" xfId="33"/>
    <cellStyle name="Excel Built-in Normal" xfId="1"/>
    <cellStyle name="Excel Built-in Обычный_Бланк заявки на МТО" xfId="2"/>
    <cellStyle name="Normal 2" xfId="31"/>
    <cellStyle name="Normal 2 2" xfId="32"/>
    <cellStyle name="Обычный" xfId="0" builtinId="0"/>
    <cellStyle name="Обычный 10" xfId="3"/>
    <cellStyle name="Обычный 10 2" xfId="17"/>
    <cellStyle name="Обычный 12" xfId="4"/>
    <cellStyle name="Обычный 12 2" xfId="18"/>
    <cellStyle name="Обычный 13" xfId="5"/>
    <cellStyle name="Обычный 13 2" xfId="19"/>
    <cellStyle name="Обычный 14" xfId="6"/>
    <cellStyle name="Обычный 14 2" xfId="20"/>
    <cellStyle name="Обычный 15" xfId="7"/>
    <cellStyle name="Обычный 15 2" xfId="21"/>
    <cellStyle name="Обычный 2" xfId="8"/>
    <cellStyle name="Обычный 3" xfId="28"/>
    <cellStyle name="Обычный 3 3 2" xfId="9"/>
    <cellStyle name="Обычный 3 3 2 2" xfId="22"/>
    <cellStyle name="Обычный 5" xfId="10"/>
    <cellStyle name="Обычный 5 2" xfId="23"/>
    <cellStyle name="Обычный 6" xfId="11"/>
    <cellStyle name="Обычный 6 2" xfId="24"/>
    <cellStyle name="Обычный 7" xfId="12"/>
    <cellStyle name="Обычный 7 2" xfId="25"/>
    <cellStyle name="Обычный 8" xfId="13"/>
    <cellStyle name="Обычный 8 2" xfId="26"/>
    <cellStyle name="Обычный 9" xfId="14"/>
    <cellStyle name="Обычный 9 2" xfId="27"/>
    <cellStyle name="Обычный_~2332730" xfId="15"/>
    <cellStyle name="Процентный 2" xfId="29"/>
    <cellStyle name="Стиль 1" xfId="16"/>
    <cellStyle name="Финансовый 2" xfId="30"/>
  </cellStyles>
  <dxfs count="0"/>
  <tableStyles count="0" defaultTableStyle="TableStyleMedium9" defaultPivotStyle="PivotStyleLight16"/>
  <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5\ukrvk\Zakup\&#1047;&#1072;&#1082;&#1091;&#1087;&#1082;&#1080;%202015\&#1058;&#1088;&#1091;&#1073;&#1072;%202015\&#1040;&#1088;&#1093;&#1080;&#1074;%20&#1076;&#1083;&#1103;%20&#1088;&#1072;&#1073;&#1086;&#1090;&#1099;\&#1054;&#1084;&#1089;&#1082;\&#1058;&#1088;&#1091;&#1073;&#1072;%20&#1087;&#1086;&#1083;&#1080;&#1101;&#1090;&#1080;&#1083;&#1077;&#1085;&#1086;&#1074;&#1072;&#1103;%202015\&#1058;&#1088;&#1091;&#1073;&#1072;%20&#1087;&#1086;&#1083;&#1080;&#1101;&#1090;&#1080;&#1083;&#1077;&#1085;&#1086;&#1074;&#1072;&#1103;_6%20169%20&#1084;&#1083;&#1085;\&#1064;&#1072;&#1073;&#1083;&#1086;&#1085;_&#1056;&#1055;&#1047;_(&#1055;&#1088;&#1080;&#1083;&#1086;&#1078;&#1077;&#1085;&#1080;&#1077;%20&#8470;1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ШАБЛОН РПЗ"/>
      <sheetName val="Описание"/>
      <sheetName val="Постановление932"/>
      <sheetName val="ЗАКАЗЧИК"/>
      <sheetName val="Тип плана"/>
      <sheetName val="ПСП_ЦАУК"/>
      <sheetName val="Тип программы"/>
      <sheetName val="ОКДП"/>
      <sheetName val="ОКВЭД"/>
      <sheetName val="ОКАТО"/>
      <sheetName val="ОКЕИ"/>
      <sheetName val="СТАВКА_НДС"/>
      <sheetName val="Прочее"/>
      <sheetName val="СпособЗакупки"/>
      <sheetName val="ФормаПроведения"/>
      <sheetName val="ПричинаЕП"/>
      <sheetName val="ЭТП"/>
      <sheetName val="НеобходимостьПубликации"/>
      <sheetName val="СП_ЗАКАЗЧИКА"/>
      <sheetName val="Лист1"/>
      <sheetName val="Лист2"/>
      <sheetName val="Лист4"/>
      <sheetName val="Коды ОКВЭД"/>
      <sheetName val="Коды ОКДП"/>
      <sheetName val="Коды ОКЕИ"/>
      <sheetName val="Коды ОКАТО"/>
      <sheetName val="Товарные группы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">
          <cell r="A2" t="str">
            <v>Без НДС</v>
          </cell>
        </row>
        <row r="3">
          <cell r="A3" t="str">
            <v>НДС 0%</v>
          </cell>
        </row>
        <row r="4">
          <cell r="A4" t="str">
            <v>НДС 10%</v>
          </cell>
        </row>
        <row r="5">
          <cell r="A5" t="str">
            <v>НДС 18%</v>
          </cell>
        </row>
        <row r="6">
          <cell r="A6" t="str">
            <v>НДС 25%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67"/>
  <sheetViews>
    <sheetView tabSelected="1" topLeftCell="A7" zoomScale="70" zoomScaleNormal="70" zoomScaleSheetLayoutView="55" workbookViewId="0">
      <pane xSplit="2" ySplit="5" topLeftCell="C38" activePane="bottomRight" state="frozen"/>
      <selection activeCell="A7" sqref="A7"/>
      <selection pane="topRight" activeCell="C7" sqref="C7"/>
      <selection pane="bottomLeft" activeCell="A12" sqref="A12"/>
      <selection pane="bottomRight" activeCell="B48" sqref="B48"/>
    </sheetView>
  </sheetViews>
  <sheetFormatPr defaultColWidth="9.140625" defaultRowHeight="15.75" x14ac:dyDescent="0.25"/>
  <cols>
    <col min="1" max="1" width="8.140625" style="3" customWidth="1"/>
    <col min="2" max="2" width="71.28515625" style="1" customWidth="1"/>
    <col min="3" max="3" width="36.42578125" style="1" customWidth="1"/>
    <col min="4" max="4" width="24.42578125" style="1" customWidth="1"/>
    <col min="5" max="5" width="35.85546875" style="1" customWidth="1"/>
    <col min="6" max="6" width="24.42578125" style="3" customWidth="1"/>
    <col min="7" max="7" width="21.85546875" style="3" customWidth="1"/>
    <col min="8" max="8" width="22.7109375" style="3" customWidth="1"/>
    <col min="9" max="9" width="23.28515625" style="3" customWidth="1"/>
    <col min="10" max="10" width="21.7109375" style="3" customWidth="1"/>
    <col min="11" max="11" width="23.5703125" style="3" customWidth="1"/>
    <col min="12" max="12" width="21.7109375" style="2" customWidth="1"/>
    <col min="13" max="13" width="21.28515625" style="2" customWidth="1"/>
    <col min="14" max="14" width="21.5703125" style="3" customWidth="1"/>
    <col min="15" max="15" width="22.42578125" style="3" customWidth="1"/>
    <col min="16" max="16" width="20" style="3" customWidth="1"/>
    <col min="17" max="17" width="22.85546875" style="3" customWidth="1"/>
    <col min="18" max="18" width="23.28515625" style="3" customWidth="1"/>
    <col min="19" max="16384" width="9.140625" style="3"/>
  </cols>
  <sheetData>
    <row r="1" spans="1:18" s="45" customFormat="1" ht="30" customHeight="1" x14ac:dyDescent="0.2">
      <c r="B1" s="46"/>
      <c r="C1" s="47"/>
      <c r="D1" s="47"/>
      <c r="E1" s="47"/>
      <c r="H1" s="48" t="s">
        <v>89</v>
      </c>
    </row>
    <row r="2" spans="1:18" s="45" customFormat="1" ht="15" x14ac:dyDescent="0.2">
      <c r="A2" s="87" t="s">
        <v>1</v>
      </c>
      <c r="B2" s="87"/>
      <c r="C2" s="87"/>
      <c r="D2" s="87"/>
      <c r="E2" s="87"/>
      <c r="F2" s="87"/>
      <c r="G2" s="87"/>
      <c r="H2" s="87"/>
    </row>
    <row r="3" spans="1:18" s="45" customFormat="1" ht="14.25" x14ac:dyDescent="0.2">
      <c r="B3" s="49" t="s">
        <v>3</v>
      </c>
      <c r="C3" s="47"/>
      <c r="D3" s="47"/>
      <c r="E3" s="47"/>
    </row>
    <row r="4" spans="1:18" s="45" customFormat="1" ht="14.25" x14ac:dyDescent="0.2">
      <c r="B4" s="49" t="s">
        <v>2</v>
      </c>
      <c r="C4" s="47"/>
      <c r="D4" s="47"/>
      <c r="E4" s="47"/>
    </row>
    <row r="5" spans="1:18" s="45" customFormat="1" ht="14.25" x14ac:dyDescent="0.2">
      <c r="A5" s="88" t="s">
        <v>84</v>
      </c>
      <c r="B5" s="88"/>
      <c r="C5" s="88"/>
      <c r="D5" s="88"/>
      <c r="E5" s="88"/>
      <c r="F5" s="88"/>
      <c r="G5" s="88"/>
      <c r="H5" s="88"/>
    </row>
    <row r="6" spans="1:18" s="45" customFormat="1" ht="41.25" customHeight="1" x14ac:dyDescent="0.2">
      <c r="A6" s="89" t="s">
        <v>85</v>
      </c>
      <c r="B6" s="89"/>
      <c r="C6" s="89"/>
      <c r="D6" s="89"/>
      <c r="E6" s="89"/>
      <c r="F6" s="89"/>
      <c r="G6" s="89"/>
      <c r="H6" s="89"/>
    </row>
    <row r="7" spans="1:18" s="45" customFormat="1" ht="29.25" customHeight="1" x14ac:dyDescent="0.2">
      <c r="A7" s="90" t="s">
        <v>86</v>
      </c>
      <c r="B7" s="90"/>
      <c r="C7" s="90"/>
      <c r="D7" s="90"/>
      <c r="E7" s="84"/>
      <c r="F7" s="84"/>
      <c r="G7" s="84"/>
      <c r="H7" s="84"/>
    </row>
    <row r="8" spans="1:18" s="45" customFormat="1" ht="14.25" x14ac:dyDescent="0.2">
      <c r="A8" s="83" t="s">
        <v>87</v>
      </c>
      <c r="B8" s="83"/>
      <c r="C8" s="83"/>
      <c r="D8" s="83"/>
      <c r="E8" s="84"/>
      <c r="F8" s="84"/>
      <c r="G8" s="84"/>
      <c r="H8" s="84"/>
    </row>
    <row r="9" spans="1:18" s="45" customFormat="1" ht="14.25" x14ac:dyDescent="0.2">
      <c r="A9" s="83" t="s">
        <v>5</v>
      </c>
      <c r="B9" s="83"/>
      <c r="C9" s="83"/>
      <c r="D9" s="83"/>
      <c r="E9" s="84"/>
      <c r="F9" s="84"/>
      <c r="G9" s="84"/>
      <c r="H9" s="84"/>
    </row>
    <row r="10" spans="1:18" s="45" customFormat="1" ht="15.75" customHeight="1" x14ac:dyDescent="0.25">
      <c r="A10" s="85" t="s">
        <v>4</v>
      </c>
      <c r="B10" s="85"/>
      <c r="C10" s="85"/>
      <c r="D10" s="85"/>
      <c r="E10" s="86"/>
      <c r="F10" s="86"/>
      <c r="G10" s="86"/>
      <c r="H10" s="86"/>
    </row>
    <row r="11" spans="1:18" s="45" customFormat="1" ht="14.25" customHeight="1" x14ac:dyDescent="0.2">
      <c r="A11" s="72" t="s">
        <v>88</v>
      </c>
      <c r="B11" s="72"/>
      <c r="C11" s="72"/>
      <c r="D11" s="72"/>
      <c r="E11" s="72"/>
      <c r="F11" s="72"/>
      <c r="G11" s="72"/>
      <c r="H11" s="72"/>
    </row>
    <row r="12" spans="1:18" s="45" customFormat="1" ht="14.25" x14ac:dyDescent="0.2">
      <c r="A12" s="51"/>
      <c r="B12" s="51"/>
      <c r="C12" s="51"/>
      <c r="D12" s="51"/>
      <c r="E12" s="51"/>
      <c r="F12" s="51"/>
      <c r="G12" s="51"/>
      <c r="H12" s="51"/>
    </row>
    <row r="13" spans="1:18" s="45" customFormat="1" x14ac:dyDescent="0.25">
      <c r="A13" s="79" t="s">
        <v>0</v>
      </c>
      <c r="B13" s="79"/>
      <c r="C13" s="79"/>
      <c r="D13" s="79"/>
      <c r="E13" s="79"/>
      <c r="F13" s="79"/>
      <c r="G13" s="79"/>
      <c r="H13" s="79"/>
    </row>
    <row r="15" spans="1:18" x14ac:dyDescent="0.25">
      <c r="A15" s="73"/>
      <c r="B15" s="73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8" s="7" customFormat="1" ht="42.6" customHeight="1" x14ac:dyDescent="0.25">
      <c r="A16" s="30" t="s">
        <v>11</v>
      </c>
      <c r="B16" s="30" t="s">
        <v>12</v>
      </c>
      <c r="C16" s="30" t="s">
        <v>13</v>
      </c>
      <c r="D16" s="30" t="s">
        <v>14</v>
      </c>
      <c r="E16" s="30" t="s">
        <v>15</v>
      </c>
      <c r="F16" s="30" t="s">
        <v>38</v>
      </c>
      <c r="G16" s="30" t="s">
        <v>81</v>
      </c>
      <c r="H16" s="30" t="s">
        <v>82</v>
      </c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8" s="5" customFormat="1" ht="88.15" customHeight="1" x14ac:dyDescent="0.25">
      <c r="A17" s="15">
        <v>1</v>
      </c>
      <c r="B17" s="31" t="s">
        <v>16</v>
      </c>
      <c r="C17" s="32" t="s">
        <v>40</v>
      </c>
      <c r="D17" s="33" t="s">
        <v>17</v>
      </c>
      <c r="E17" s="32" t="s">
        <v>18</v>
      </c>
      <c r="F17" s="34"/>
      <c r="G17" s="64">
        <v>3472</v>
      </c>
      <c r="H17" s="18">
        <f t="shared" ref="H17:H44" si="0">$F17*G17</f>
        <v>0</v>
      </c>
    </row>
    <row r="18" spans="1:8" s="5" customFormat="1" ht="49.15" customHeight="1" x14ac:dyDescent="0.25">
      <c r="A18" s="15">
        <v>2</v>
      </c>
      <c r="B18" s="19" t="s">
        <v>19</v>
      </c>
      <c r="C18" s="17" t="s">
        <v>41</v>
      </c>
      <c r="D18" s="17" t="s">
        <v>17</v>
      </c>
      <c r="E18" s="17" t="s">
        <v>20</v>
      </c>
      <c r="F18" s="20"/>
      <c r="G18" s="64">
        <v>106.5</v>
      </c>
      <c r="H18" s="18">
        <f t="shared" si="0"/>
        <v>0</v>
      </c>
    </row>
    <row r="19" spans="1:8" s="5" customFormat="1" ht="52.9" customHeight="1" x14ac:dyDescent="0.25">
      <c r="A19" s="15">
        <v>3</v>
      </c>
      <c r="B19" s="19" t="s">
        <v>21</v>
      </c>
      <c r="C19" s="17" t="s">
        <v>42</v>
      </c>
      <c r="D19" s="17" t="s">
        <v>17</v>
      </c>
      <c r="E19" s="17" t="s">
        <v>20</v>
      </c>
      <c r="F19" s="20"/>
      <c r="G19" s="64">
        <v>47451.75</v>
      </c>
      <c r="H19" s="18">
        <f t="shared" si="0"/>
        <v>0</v>
      </c>
    </row>
    <row r="20" spans="1:8" s="5" customFormat="1" ht="53.45" customHeight="1" x14ac:dyDescent="0.25">
      <c r="A20" s="15">
        <v>4</v>
      </c>
      <c r="B20" s="21" t="s">
        <v>23</v>
      </c>
      <c r="C20" s="17" t="s">
        <v>43</v>
      </c>
      <c r="D20" s="17" t="s">
        <v>17</v>
      </c>
      <c r="E20" s="17" t="s">
        <v>20</v>
      </c>
      <c r="F20" s="20"/>
      <c r="G20" s="26">
        <v>2</v>
      </c>
      <c r="H20" s="18">
        <f t="shared" si="0"/>
        <v>0</v>
      </c>
    </row>
    <row r="21" spans="1:8" s="5" customFormat="1" ht="58.9" customHeight="1" x14ac:dyDescent="0.25">
      <c r="A21" s="15">
        <v>5</v>
      </c>
      <c r="B21" s="21" t="s">
        <v>22</v>
      </c>
      <c r="C21" s="17" t="s">
        <v>44</v>
      </c>
      <c r="D21" s="17" t="s">
        <v>17</v>
      </c>
      <c r="E21" s="17" t="s">
        <v>20</v>
      </c>
      <c r="F21" s="20"/>
      <c r="G21" s="64">
        <v>3264</v>
      </c>
      <c r="H21" s="18">
        <f t="shared" si="0"/>
        <v>0</v>
      </c>
    </row>
    <row r="22" spans="1:8" s="5" customFormat="1" ht="60.6" customHeight="1" x14ac:dyDescent="0.25">
      <c r="A22" s="15">
        <v>6</v>
      </c>
      <c r="B22" s="19" t="s">
        <v>24</v>
      </c>
      <c r="C22" s="17" t="s">
        <v>45</v>
      </c>
      <c r="D22" s="17" t="s">
        <v>17</v>
      </c>
      <c r="E22" s="17" t="s">
        <v>20</v>
      </c>
      <c r="F22" s="20"/>
      <c r="G22" s="26">
        <v>211</v>
      </c>
      <c r="H22" s="18">
        <f t="shared" si="0"/>
        <v>0</v>
      </c>
    </row>
    <row r="23" spans="1:8" s="5" customFormat="1" ht="60.6" customHeight="1" x14ac:dyDescent="0.25">
      <c r="A23" s="15">
        <v>7</v>
      </c>
      <c r="B23" s="19" t="s">
        <v>25</v>
      </c>
      <c r="C23" s="17" t="s">
        <v>46</v>
      </c>
      <c r="D23" s="17" t="s">
        <v>26</v>
      </c>
      <c r="E23" s="17" t="s">
        <v>18</v>
      </c>
      <c r="F23" s="20"/>
      <c r="G23" s="26">
        <v>689</v>
      </c>
      <c r="H23" s="18">
        <f t="shared" si="0"/>
        <v>0</v>
      </c>
    </row>
    <row r="24" spans="1:8" s="5" customFormat="1" ht="60.6" customHeight="1" x14ac:dyDescent="0.25">
      <c r="A24" s="15">
        <v>8</v>
      </c>
      <c r="B24" s="21" t="s">
        <v>27</v>
      </c>
      <c r="C24" s="17" t="s">
        <v>47</v>
      </c>
      <c r="D24" s="17" t="s">
        <v>26</v>
      </c>
      <c r="E24" s="16" t="s">
        <v>18</v>
      </c>
      <c r="F24" s="20"/>
      <c r="G24" s="26">
        <v>8</v>
      </c>
      <c r="H24" s="18">
        <f t="shared" si="0"/>
        <v>0</v>
      </c>
    </row>
    <row r="25" spans="1:8" s="5" customFormat="1" ht="60.6" customHeight="1" x14ac:dyDescent="0.25">
      <c r="A25" s="15">
        <v>9</v>
      </c>
      <c r="B25" s="21" t="s">
        <v>28</v>
      </c>
      <c r="C25" s="17" t="s">
        <v>48</v>
      </c>
      <c r="D25" s="17" t="s">
        <v>26</v>
      </c>
      <c r="E25" s="16" t="s">
        <v>18</v>
      </c>
      <c r="F25" s="20"/>
      <c r="G25" s="26">
        <v>0</v>
      </c>
      <c r="H25" s="18">
        <f t="shared" si="0"/>
        <v>0</v>
      </c>
    </row>
    <row r="26" spans="1:8" s="5" customFormat="1" ht="60.6" customHeight="1" x14ac:dyDescent="0.25">
      <c r="A26" s="15">
        <v>10</v>
      </c>
      <c r="B26" s="19" t="s">
        <v>29</v>
      </c>
      <c r="C26" s="17" t="s">
        <v>49</v>
      </c>
      <c r="D26" s="17" t="s">
        <v>17</v>
      </c>
      <c r="E26" s="17" t="s">
        <v>20</v>
      </c>
      <c r="F26" s="20"/>
      <c r="G26" s="26">
        <v>22</v>
      </c>
      <c r="H26" s="18">
        <f t="shared" si="0"/>
        <v>0</v>
      </c>
    </row>
    <row r="27" spans="1:8" s="5" customFormat="1" ht="60.6" customHeight="1" x14ac:dyDescent="0.25">
      <c r="A27" s="15">
        <v>11</v>
      </c>
      <c r="B27" s="19" t="s">
        <v>39</v>
      </c>
      <c r="C27" s="17" t="s">
        <v>36</v>
      </c>
      <c r="D27" s="29" t="s">
        <v>37</v>
      </c>
      <c r="E27" s="17" t="s">
        <v>36</v>
      </c>
      <c r="F27" s="20"/>
      <c r="G27" s="26">
        <v>13806</v>
      </c>
      <c r="H27" s="18">
        <f t="shared" si="0"/>
        <v>0</v>
      </c>
    </row>
    <row r="28" spans="1:8" s="5" customFormat="1" ht="60.6" customHeight="1" x14ac:dyDescent="0.25">
      <c r="A28" s="15">
        <v>12</v>
      </c>
      <c r="B28" s="35" t="s">
        <v>50</v>
      </c>
      <c r="C28" s="36" t="s">
        <v>51</v>
      </c>
      <c r="D28" s="37" t="s">
        <v>17</v>
      </c>
      <c r="E28" s="36" t="s">
        <v>51</v>
      </c>
      <c r="F28" s="38"/>
      <c r="G28" s="26">
        <v>0</v>
      </c>
      <c r="H28" s="18">
        <f t="shared" si="0"/>
        <v>0</v>
      </c>
    </row>
    <row r="29" spans="1:8" s="5" customFormat="1" ht="60.6" customHeight="1" x14ac:dyDescent="0.25">
      <c r="A29" s="15">
        <v>13</v>
      </c>
      <c r="B29" s="31" t="s">
        <v>52</v>
      </c>
      <c r="C29" s="36" t="s">
        <v>53</v>
      </c>
      <c r="D29" s="33" t="s">
        <v>54</v>
      </c>
      <c r="E29" s="33" t="s">
        <v>20</v>
      </c>
      <c r="F29" s="34"/>
      <c r="G29" s="26">
        <v>352</v>
      </c>
      <c r="H29" s="18">
        <f t="shared" si="0"/>
        <v>0</v>
      </c>
    </row>
    <row r="30" spans="1:8" s="5" customFormat="1" ht="60.6" customHeight="1" x14ac:dyDescent="0.25">
      <c r="A30" s="15">
        <v>14</v>
      </c>
      <c r="B30" s="31" t="s">
        <v>55</v>
      </c>
      <c r="C30" s="17" t="s">
        <v>56</v>
      </c>
      <c r="D30" s="17" t="s">
        <v>54</v>
      </c>
      <c r="E30" s="17" t="s">
        <v>20</v>
      </c>
      <c r="F30" s="20"/>
      <c r="G30" s="26">
        <v>67</v>
      </c>
      <c r="H30" s="18">
        <f t="shared" si="0"/>
        <v>0</v>
      </c>
    </row>
    <row r="31" spans="1:8" s="5" customFormat="1" ht="60.6" customHeight="1" x14ac:dyDescent="0.25">
      <c r="A31" s="15">
        <v>15</v>
      </c>
      <c r="B31" s="31" t="s">
        <v>57</v>
      </c>
      <c r="C31" s="17" t="s">
        <v>58</v>
      </c>
      <c r="D31" s="17" t="s">
        <v>54</v>
      </c>
      <c r="E31" s="17" t="s">
        <v>20</v>
      </c>
      <c r="F31" s="39"/>
      <c r="G31" s="26">
        <v>22</v>
      </c>
      <c r="H31" s="18">
        <f t="shared" si="0"/>
        <v>0</v>
      </c>
    </row>
    <row r="32" spans="1:8" s="5" customFormat="1" ht="85.5" x14ac:dyDescent="0.25">
      <c r="A32" s="15">
        <v>16</v>
      </c>
      <c r="B32" s="80" t="s">
        <v>59</v>
      </c>
      <c r="C32" s="17" t="s">
        <v>60</v>
      </c>
      <c r="D32" s="17" t="s">
        <v>61</v>
      </c>
      <c r="E32" s="32" t="s">
        <v>18</v>
      </c>
      <c r="F32" s="20"/>
      <c r="G32" s="26">
        <v>3</v>
      </c>
      <c r="H32" s="18">
        <f t="shared" si="0"/>
        <v>0</v>
      </c>
    </row>
    <row r="33" spans="1:18" s="5" customFormat="1" ht="85.5" x14ac:dyDescent="0.25">
      <c r="A33" s="15">
        <v>17</v>
      </c>
      <c r="B33" s="81"/>
      <c r="C33" s="17" t="s">
        <v>62</v>
      </c>
      <c r="D33" s="17" t="s">
        <v>61</v>
      </c>
      <c r="E33" s="32" t="s">
        <v>18</v>
      </c>
      <c r="F33" s="20"/>
      <c r="G33" s="26">
        <v>7</v>
      </c>
      <c r="H33" s="18">
        <f t="shared" si="0"/>
        <v>0</v>
      </c>
    </row>
    <row r="34" spans="1:18" s="5" customFormat="1" ht="60.6" customHeight="1" x14ac:dyDescent="0.25">
      <c r="A34" s="15">
        <v>18</v>
      </c>
      <c r="B34" s="80" t="s">
        <v>63</v>
      </c>
      <c r="C34" s="17" t="s">
        <v>64</v>
      </c>
      <c r="D34" s="17" t="s">
        <v>54</v>
      </c>
      <c r="E34" s="17" t="s">
        <v>20</v>
      </c>
      <c r="F34" s="20"/>
      <c r="G34" s="26">
        <v>0</v>
      </c>
      <c r="H34" s="18">
        <f t="shared" si="0"/>
        <v>0</v>
      </c>
    </row>
    <row r="35" spans="1:18" s="5" customFormat="1" ht="60.6" customHeight="1" x14ac:dyDescent="0.25">
      <c r="A35" s="15">
        <v>19</v>
      </c>
      <c r="B35" s="81"/>
      <c r="C35" s="17" t="s">
        <v>65</v>
      </c>
      <c r="D35" s="17" t="s">
        <v>54</v>
      </c>
      <c r="E35" s="17" t="s">
        <v>20</v>
      </c>
      <c r="F35" s="20"/>
      <c r="G35" s="26">
        <v>0</v>
      </c>
      <c r="H35" s="18">
        <f t="shared" si="0"/>
        <v>0</v>
      </c>
    </row>
    <row r="36" spans="1:18" s="5" customFormat="1" ht="60.6" customHeight="1" x14ac:dyDescent="0.25">
      <c r="A36" s="15">
        <v>20</v>
      </c>
      <c r="B36" s="80" t="s">
        <v>66</v>
      </c>
      <c r="C36" s="17" t="s">
        <v>67</v>
      </c>
      <c r="D36" s="17" t="s">
        <v>54</v>
      </c>
      <c r="E36" s="17" t="s">
        <v>20</v>
      </c>
      <c r="F36" s="20"/>
      <c r="G36" s="26">
        <v>13</v>
      </c>
      <c r="H36" s="18">
        <f t="shared" si="0"/>
        <v>0</v>
      </c>
    </row>
    <row r="37" spans="1:18" s="5" customFormat="1" ht="60.6" customHeight="1" x14ac:dyDescent="0.25">
      <c r="A37" s="15">
        <v>21</v>
      </c>
      <c r="B37" s="81"/>
      <c r="C37" s="17" t="s">
        <v>68</v>
      </c>
      <c r="D37" s="17" t="s">
        <v>54</v>
      </c>
      <c r="E37" s="17" t="s">
        <v>20</v>
      </c>
      <c r="F37" s="20"/>
      <c r="G37" s="26">
        <v>0</v>
      </c>
      <c r="H37" s="18">
        <f t="shared" si="0"/>
        <v>0</v>
      </c>
    </row>
    <row r="38" spans="1:18" s="5" customFormat="1" ht="71.25" x14ac:dyDescent="0.25">
      <c r="A38" s="15">
        <v>22</v>
      </c>
      <c r="B38" s="80" t="s">
        <v>69</v>
      </c>
      <c r="C38" s="17" t="s">
        <v>70</v>
      </c>
      <c r="D38" s="17" t="s">
        <v>61</v>
      </c>
      <c r="E38" s="32" t="s">
        <v>18</v>
      </c>
      <c r="F38" s="20"/>
      <c r="G38" s="26">
        <v>1</v>
      </c>
      <c r="H38" s="18">
        <f t="shared" si="0"/>
        <v>0</v>
      </c>
    </row>
    <row r="39" spans="1:18" s="5" customFormat="1" ht="71.25" x14ac:dyDescent="0.25">
      <c r="A39" s="15">
        <v>23</v>
      </c>
      <c r="B39" s="82"/>
      <c r="C39" s="17" t="s">
        <v>71</v>
      </c>
      <c r="D39" s="29" t="s">
        <v>61</v>
      </c>
      <c r="E39" s="32" t="s">
        <v>18</v>
      </c>
      <c r="F39" s="20"/>
      <c r="G39" s="26">
        <v>0</v>
      </c>
      <c r="H39" s="18">
        <f t="shared" si="0"/>
        <v>0</v>
      </c>
    </row>
    <row r="40" spans="1:18" s="5" customFormat="1" ht="75.599999999999994" customHeight="1" x14ac:dyDescent="0.25">
      <c r="A40" s="15">
        <v>24</v>
      </c>
      <c r="B40" s="82"/>
      <c r="C40" s="17" t="s">
        <v>72</v>
      </c>
      <c r="D40" s="17" t="s">
        <v>61</v>
      </c>
      <c r="E40" s="32" t="s">
        <v>18</v>
      </c>
      <c r="F40" s="20"/>
      <c r="G40" s="26">
        <v>2</v>
      </c>
      <c r="H40" s="18">
        <f t="shared" si="0"/>
        <v>0</v>
      </c>
    </row>
    <row r="41" spans="1:18" s="5" customFormat="1" ht="71.25" x14ac:dyDescent="0.25">
      <c r="A41" s="15">
        <v>25</v>
      </c>
      <c r="B41" s="81"/>
      <c r="C41" s="17" t="s">
        <v>73</v>
      </c>
      <c r="D41" s="17" t="s">
        <v>61</v>
      </c>
      <c r="E41" s="32" t="s">
        <v>18</v>
      </c>
      <c r="F41" s="20"/>
      <c r="G41" s="26">
        <v>3</v>
      </c>
      <c r="H41" s="18">
        <f t="shared" si="0"/>
        <v>0</v>
      </c>
    </row>
    <row r="42" spans="1:18" s="5" customFormat="1" ht="85.5" x14ac:dyDescent="0.25">
      <c r="A42" s="15">
        <v>26</v>
      </c>
      <c r="B42" s="40" t="s">
        <v>74</v>
      </c>
      <c r="C42" s="17" t="s">
        <v>75</v>
      </c>
      <c r="D42" s="17" t="s">
        <v>61</v>
      </c>
      <c r="E42" s="32"/>
      <c r="F42" s="20"/>
      <c r="G42" s="26">
        <v>0</v>
      </c>
      <c r="H42" s="18">
        <f t="shared" si="0"/>
        <v>0</v>
      </c>
    </row>
    <row r="43" spans="1:18" s="5" customFormat="1" ht="70.150000000000006" customHeight="1" x14ac:dyDescent="0.25">
      <c r="A43" s="15">
        <v>27</v>
      </c>
      <c r="B43" s="31" t="s">
        <v>76</v>
      </c>
      <c r="C43" s="17" t="s">
        <v>77</v>
      </c>
      <c r="D43" s="17" t="s">
        <v>54</v>
      </c>
      <c r="E43" s="17" t="s">
        <v>20</v>
      </c>
      <c r="F43" s="20"/>
      <c r="G43" s="26">
        <v>1</v>
      </c>
      <c r="H43" s="18">
        <f t="shared" si="0"/>
        <v>0</v>
      </c>
    </row>
    <row r="44" spans="1:18" s="5" customFormat="1" ht="70.150000000000006" customHeight="1" x14ac:dyDescent="0.25">
      <c r="A44" s="15">
        <v>28</v>
      </c>
      <c r="B44" s="41" t="s">
        <v>78</v>
      </c>
      <c r="C44" s="42" t="s">
        <v>79</v>
      </c>
      <c r="D44" s="43" t="s">
        <v>54</v>
      </c>
      <c r="E44" s="42" t="s">
        <v>20</v>
      </c>
      <c r="F44" s="44"/>
      <c r="G44" s="26">
        <v>0</v>
      </c>
      <c r="H44" s="18">
        <f t="shared" si="0"/>
        <v>0</v>
      </c>
    </row>
    <row r="45" spans="1:18" s="23" customFormat="1" ht="32.25" customHeight="1" x14ac:dyDescent="0.25">
      <c r="A45" s="76" t="s">
        <v>33</v>
      </c>
      <c r="B45" s="76"/>
      <c r="C45" s="76"/>
      <c r="D45" s="77"/>
      <c r="E45" s="78"/>
      <c r="F45" s="22"/>
      <c r="G45" s="27"/>
      <c r="H45" s="27">
        <f>SUM(H17:H44)*3</f>
        <v>0</v>
      </c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s="23" customFormat="1" ht="32.25" customHeight="1" x14ac:dyDescent="0.25">
      <c r="A46" s="76" t="s">
        <v>34</v>
      </c>
      <c r="B46" s="76"/>
      <c r="C46" s="76"/>
      <c r="D46" s="77" t="s">
        <v>108</v>
      </c>
      <c r="E46" s="78"/>
      <c r="F46" s="22"/>
      <c r="G46" s="27"/>
      <c r="H46" s="27">
        <f>((H45/3)*(1+2.56%))*12</f>
        <v>0</v>
      </c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s="23" customFormat="1" ht="32.25" customHeight="1" x14ac:dyDescent="0.25">
      <c r="A47" s="76" t="s">
        <v>107</v>
      </c>
      <c r="B47" s="76"/>
      <c r="C47" s="76"/>
      <c r="D47" s="77"/>
      <c r="E47" s="78"/>
      <c r="F47" s="22"/>
      <c r="G47" s="28"/>
      <c r="H47" s="28">
        <f>SUM(H45:H46)</f>
        <v>0</v>
      </c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s="5" customFormat="1" ht="32.25" customHeight="1" x14ac:dyDescent="0.25">
      <c r="A48" s="11"/>
      <c r="B48" s="12"/>
      <c r="C48" s="11"/>
      <c r="D48" s="11"/>
      <c r="E48" s="11"/>
      <c r="F48" s="11"/>
      <c r="G48" s="13"/>
      <c r="H48" s="14"/>
      <c r="I48" s="13"/>
      <c r="J48" s="13"/>
      <c r="K48" s="14"/>
      <c r="L48" s="13"/>
      <c r="M48" s="13"/>
      <c r="N48" s="13"/>
      <c r="O48" s="13"/>
      <c r="P48" s="13"/>
      <c r="Q48" s="13"/>
    </row>
    <row r="49" spans="1:17" s="59" customFormat="1" ht="32.25" customHeight="1" x14ac:dyDescent="0.2">
      <c r="A49" s="53"/>
      <c r="B49" s="75" t="s">
        <v>30</v>
      </c>
      <c r="C49" s="75"/>
      <c r="D49" s="75"/>
      <c r="E49" s="75"/>
      <c r="F49" s="54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</row>
    <row r="50" spans="1:17" s="59" customFormat="1" ht="32.25" customHeight="1" x14ac:dyDescent="0.2">
      <c r="A50" s="53"/>
      <c r="B50" s="74" t="s">
        <v>83</v>
      </c>
      <c r="C50" s="75"/>
      <c r="D50" s="75"/>
      <c r="E50" s="75"/>
      <c r="F50" s="54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6"/>
    </row>
    <row r="51" spans="1:17" s="59" customFormat="1" ht="46.5" customHeight="1" x14ac:dyDescent="0.2">
      <c r="A51" s="57"/>
      <c r="B51" s="74" t="s">
        <v>90</v>
      </c>
      <c r="C51" s="74"/>
      <c r="D51" s="74"/>
      <c r="E51" s="74"/>
      <c r="F51" s="60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8"/>
    </row>
    <row r="52" spans="1:17" s="59" customFormat="1" ht="32.25" customHeight="1" x14ac:dyDescent="0.2">
      <c r="A52" s="57"/>
      <c r="B52" s="75" t="s">
        <v>80</v>
      </c>
      <c r="C52" s="75"/>
      <c r="D52" s="75"/>
      <c r="E52" s="75"/>
      <c r="F52" s="60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8"/>
    </row>
    <row r="53" spans="1:17" s="45" customFormat="1" x14ac:dyDescent="0.25">
      <c r="A53" s="52" t="s">
        <v>92</v>
      </c>
      <c r="B53" s="52"/>
      <c r="C53" s="52"/>
      <c r="D53" s="52"/>
      <c r="E53" s="52"/>
      <c r="F53" s="52"/>
      <c r="G53" s="52"/>
      <c r="H53" s="52"/>
      <c r="I53" s="52"/>
      <c r="J53" s="52"/>
    </row>
    <row r="54" spans="1:17" s="45" customFormat="1" x14ac:dyDescent="0.25">
      <c r="A54" s="61"/>
      <c r="B54" s="47"/>
      <c r="F54" s="62"/>
      <c r="G54" s="50"/>
      <c r="H54" s="50"/>
      <c r="I54" s="63"/>
    </row>
    <row r="55" spans="1:17" s="45" customFormat="1" ht="30.75" customHeight="1" x14ac:dyDescent="0.2">
      <c r="A55" s="92" t="s">
        <v>93</v>
      </c>
      <c r="B55" s="92"/>
      <c r="C55" s="66" t="s">
        <v>91</v>
      </c>
      <c r="D55" s="67"/>
      <c r="E55" s="67"/>
      <c r="F55" s="67"/>
      <c r="G55" s="67"/>
      <c r="H55" s="68"/>
    </row>
    <row r="56" spans="1:17" s="45" customFormat="1" ht="92.25" customHeight="1" x14ac:dyDescent="0.2">
      <c r="A56" s="92" t="s">
        <v>103</v>
      </c>
      <c r="B56" s="92"/>
      <c r="C56" s="66" t="s">
        <v>31</v>
      </c>
      <c r="D56" s="67"/>
      <c r="E56" s="67"/>
      <c r="F56" s="67"/>
      <c r="G56" s="67"/>
      <c r="H56" s="68"/>
    </row>
    <row r="57" spans="1:17" s="45" customFormat="1" ht="78.75" customHeight="1" x14ac:dyDescent="0.2">
      <c r="A57" s="92" t="s">
        <v>104</v>
      </c>
      <c r="B57" s="92"/>
      <c r="C57" s="66" t="s">
        <v>109</v>
      </c>
      <c r="D57" s="67"/>
      <c r="E57" s="67"/>
      <c r="F57" s="67"/>
      <c r="G57" s="67"/>
      <c r="H57" s="68"/>
    </row>
    <row r="58" spans="1:17" s="45" customFormat="1" ht="25.5" customHeight="1" x14ac:dyDescent="0.2">
      <c r="A58" s="92" t="s">
        <v>105</v>
      </c>
      <c r="B58" s="92"/>
      <c r="C58" s="66" t="s">
        <v>35</v>
      </c>
      <c r="D58" s="67"/>
      <c r="E58" s="67"/>
      <c r="F58" s="67"/>
      <c r="G58" s="67"/>
      <c r="H58" s="68"/>
    </row>
    <row r="59" spans="1:17" s="45" customFormat="1" ht="66.75" customHeight="1" x14ac:dyDescent="0.2">
      <c r="A59" s="65" t="s">
        <v>95</v>
      </c>
      <c r="B59" s="65"/>
      <c r="C59" s="66" t="s">
        <v>32</v>
      </c>
      <c r="D59" s="67"/>
      <c r="E59" s="67"/>
      <c r="F59" s="67"/>
      <c r="G59" s="67"/>
      <c r="H59" s="68"/>
    </row>
    <row r="60" spans="1:17" s="45" customFormat="1" ht="36.75" customHeight="1" x14ac:dyDescent="0.2">
      <c r="A60" s="65" t="s">
        <v>96</v>
      </c>
      <c r="B60" s="65"/>
      <c r="C60" s="69" t="s">
        <v>94</v>
      </c>
      <c r="D60" s="70"/>
      <c r="E60" s="70"/>
      <c r="F60" s="70"/>
      <c r="G60" s="70"/>
      <c r="H60" s="71"/>
    </row>
    <row r="61" spans="1:17" s="45" customFormat="1" ht="29.25" customHeight="1" x14ac:dyDescent="0.2">
      <c r="A61" s="65" t="s">
        <v>97</v>
      </c>
      <c r="B61" s="65"/>
      <c r="C61" s="69" t="s">
        <v>98</v>
      </c>
      <c r="D61" s="70"/>
      <c r="E61" s="70"/>
      <c r="F61" s="70"/>
      <c r="G61" s="70"/>
      <c r="H61" s="71"/>
    </row>
    <row r="62" spans="1:17" s="45" customFormat="1" ht="49.5" customHeight="1" x14ac:dyDescent="0.2">
      <c r="A62" s="65" t="s">
        <v>99</v>
      </c>
      <c r="B62" s="65"/>
      <c r="C62" s="69" t="s">
        <v>100</v>
      </c>
      <c r="D62" s="70"/>
      <c r="E62" s="70"/>
      <c r="F62" s="70"/>
      <c r="G62" s="70"/>
      <c r="H62" s="71"/>
    </row>
    <row r="63" spans="1:17" s="45" customFormat="1" ht="55.5" customHeight="1" x14ac:dyDescent="0.2">
      <c r="A63" s="65" t="s">
        <v>101</v>
      </c>
      <c r="B63" s="65"/>
      <c r="C63" s="69" t="s">
        <v>94</v>
      </c>
      <c r="D63" s="70"/>
      <c r="E63" s="70"/>
      <c r="F63" s="70"/>
      <c r="G63" s="70"/>
      <c r="H63" s="71"/>
    </row>
    <row r="64" spans="1:17" s="45" customFormat="1" ht="48.75" customHeight="1" x14ac:dyDescent="0.2">
      <c r="A64" s="65" t="s">
        <v>102</v>
      </c>
      <c r="B64" s="65"/>
      <c r="C64" s="66" t="s">
        <v>106</v>
      </c>
      <c r="D64" s="67"/>
      <c r="E64" s="67"/>
      <c r="F64" s="67"/>
      <c r="G64" s="67"/>
      <c r="H64" s="68"/>
    </row>
    <row r="65" spans="2:8" ht="80.099999999999994" customHeight="1" x14ac:dyDescent="0.25">
      <c r="B65" s="8"/>
      <c r="C65" s="6"/>
      <c r="D65" s="6"/>
      <c r="E65" s="6"/>
      <c r="F65" s="6"/>
      <c r="G65" s="9"/>
      <c r="H65" s="9"/>
    </row>
    <row r="66" spans="2:8" x14ac:dyDescent="0.25">
      <c r="B66" s="24" t="s">
        <v>6</v>
      </c>
      <c r="C66" s="91" t="s">
        <v>10</v>
      </c>
      <c r="D66" s="91"/>
      <c r="E66" s="25" t="s">
        <v>7</v>
      </c>
      <c r="F66" s="10"/>
      <c r="G66" s="10"/>
      <c r="H66" s="10"/>
    </row>
    <row r="67" spans="2:8" x14ac:dyDescent="0.25">
      <c r="B67" s="24" t="s">
        <v>8</v>
      </c>
      <c r="C67" s="25" t="s">
        <v>9</v>
      </c>
      <c r="D67" s="25"/>
      <c r="E67" s="25"/>
      <c r="F67" s="10"/>
      <c r="G67" s="10"/>
      <c r="H67" s="10"/>
    </row>
  </sheetData>
  <protectedRanges>
    <protectedRange sqref="F47:F52" name="Drivers_2_2_1"/>
  </protectedRanges>
  <mergeCells count="48">
    <mergeCell ref="C66:D66"/>
    <mergeCell ref="B51:E51"/>
    <mergeCell ref="B52:E52"/>
    <mergeCell ref="B49:E49"/>
    <mergeCell ref="A55:B55"/>
    <mergeCell ref="A59:B59"/>
    <mergeCell ref="C55:H55"/>
    <mergeCell ref="C56:H56"/>
    <mergeCell ref="C57:H57"/>
    <mergeCell ref="C58:H58"/>
    <mergeCell ref="C59:H59"/>
    <mergeCell ref="A64:B64"/>
    <mergeCell ref="A56:B56"/>
    <mergeCell ref="A57:B57"/>
    <mergeCell ref="A58:B58"/>
    <mergeCell ref="A61:B61"/>
    <mergeCell ref="A2:H2"/>
    <mergeCell ref="A5:H5"/>
    <mergeCell ref="A6:H6"/>
    <mergeCell ref="A7:D7"/>
    <mergeCell ref="E7:H7"/>
    <mergeCell ref="A8:D8"/>
    <mergeCell ref="E8:H8"/>
    <mergeCell ref="A9:D9"/>
    <mergeCell ref="E9:H9"/>
    <mergeCell ref="A10:H10"/>
    <mergeCell ref="A11:H11"/>
    <mergeCell ref="A15:B15"/>
    <mergeCell ref="B50:E50"/>
    <mergeCell ref="A47:C47"/>
    <mergeCell ref="D47:E47"/>
    <mergeCell ref="A13:H13"/>
    <mergeCell ref="A45:C45"/>
    <mergeCell ref="A46:C46"/>
    <mergeCell ref="D45:E45"/>
    <mergeCell ref="D46:E46"/>
    <mergeCell ref="B32:B33"/>
    <mergeCell ref="B34:B35"/>
    <mergeCell ref="B36:B37"/>
    <mergeCell ref="B38:B41"/>
    <mergeCell ref="A62:B62"/>
    <mergeCell ref="C64:H64"/>
    <mergeCell ref="A63:B63"/>
    <mergeCell ref="A60:B60"/>
    <mergeCell ref="C60:H60"/>
    <mergeCell ref="C61:H61"/>
    <mergeCell ref="C62:H62"/>
    <mergeCell ref="C63:H63"/>
  </mergeCells>
  <printOptions horizontalCentered="1" verticalCentered="1"/>
  <pageMargins left="0.25" right="0.25" top="0.75" bottom="0.75" header="0.3" footer="0.3"/>
  <pageSetup paperSize="9" scale="32" orientation="landscape" r:id="rId1"/>
  <headerFooter alignWithMargins="0">
    <oddFooter>Страница &amp;P из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П.6 оферта+КП</vt:lpstr>
      <vt:lpstr>'П.6 оферта+КП'!Область_печати</vt:lpstr>
    </vt:vector>
  </TitlesOfParts>
  <Company>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Чемодурова Ольга Юрьевна</cp:lastModifiedBy>
  <cp:lastPrinted>2021-09-02T07:13:55Z</cp:lastPrinted>
  <dcterms:created xsi:type="dcterms:W3CDTF">2004-11-15T07:44:11Z</dcterms:created>
  <dcterms:modified xsi:type="dcterms:W3CDTF">2026-10-14T06:31:57Z</dcterms:modified>
</cp:coreProperties>
</file>