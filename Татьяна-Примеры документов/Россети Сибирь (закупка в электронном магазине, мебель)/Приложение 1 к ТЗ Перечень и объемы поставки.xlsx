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2"/>
  </sheets>
  <externalReferences>
    <externalReference r:id="rId1"/>
  </externalReferences>
  <definedNames>
    <definedName name="_xlnm._FilterDatabase" localSheetId="0" hidden="1">Лист1!$A$8:$J$18</definedName>
    <definedName name="_xlnm._FilterDatabase" localSheetId="0" hidden="1">Лист1!$A$8:$J$18</definedName>
  </definedNames>
  <calcPr/>
</workbook>
</file>

<file path=xl/sharedStrings.xml><?xml version="1.0" encoding="utf-8"?>
<sst xmlns="http://schemas.openxmlformats.org/spreadsheetml/2006/main" count="34" uniqueCount="34">
  <si>
    <t xml:space="preserve">Приложение 1</t>
  </si>
  <si>
    <t xml:space="preserve">к техническому заданию</t>
  </si>
  <si>
    <t xml:space="preserve">Перечень и объем поставки</t>
  </si>
  <si>
    <t>№</t>
  </si>
  <si>
    <t xml:space="preserve">Номенклатурный номер</t>
  </si>
  <si>
    <t xml:space="preserve">Краткий /полный текст материала</t>
  </si>
  <si>
    <t xml:space="preserve">Код ОКПД2</t>
  </si>
  <si>
    <t xml:space="preserve">Применение ПП № 1875 (запрет/ ограничение/ преимущество/ не применяется)</t>
  </si>
  <si>
    <r>
      <rPr>
        <sz val="11"/>
        <rFont val="Times New Roman"/>
      </rPr>
      <t xml:space="preserve">Основание не применения ПП № 1875 - ссылка на пункт ПП и пояснения (</t>
    </r>
    <r>
      <rPr>
        <u val="single"/>
        <sz val="11"/>
        <rFont val="Times New Roman"/>
      </rPr>
      <t xml:space="preserve">заполняется если ПП № 1875 не применяется</t>
    </r>
    <r>
      <rPr>
        <sz val="11"/>
        <rFont val="Times New Roman"/>
      </rPr>
      <t>)</t>
    </r>
  </si>
  <si>
    <t xml:space="preserve">Ед. изм.</t>
  </si>
  <si>
    <t>Кол-во</t>
  </si>
  <si>
    <t xml:space="preserve">Цена руб., без НДС</t>
  </si>
  <si>
    <t xml:space="preserve">Сумма, руб., без НДС</t>
  </si>
  <si>
    <t xml:space="preserve">Гарнитур кухонный</t>
  </si>
  <si>
    <t>31.02.10.140</t>
  </si>
  <si>
    <t>ограничение</t>
  </si>
  <si>
    <t>ШТ</t>
  </si>
  <si>
    <t xml:space="preserve">Кресло офис.сиденье и спинка тканевые</t>
  </si>
  <si>
    <t>31.01.11.150</t>
  </si>
  <si>
    <t xml:space="preserve">Стол 1600х800мм</t>
  </si>
  <si>
    <t>31.01.12.110</t>
  </si>
  <si>
    <t xml:space="preserve">Стол обеденный</t>
  </si>
  <si>
    <t>31.02.10.190</t>
  </si>
  <si>
    <t xml:space="preserve">Стул офис.метал.каркас сиденье ткань</t>
  </si>
  <si>
    <t xml:space="preserve">Тумба подкатная 3 ящика</t>
  </si>
  <si>
    <t>31.01.12.150</t>
  </si>
  <si>
    <t xml:space="preserve">Шкаф д/верх одежды двустворчатый,цв.орех</t>
  </si>
  <si>
    <t>31.01.12.130</t>
  </si>
  <si>
    <t xml:space="preserve">Шкаф для докум 800Х400Х1910 комбинирован</t>
  </si>
  <si>
    <t xml:space="preserve">Шкаф для одежды 800Х580Х1910</t>
  </si>
  <si>
    <t xml:space="preserve">Итого планируемая (предельная) цена закупки:</t>
  </si>
  <si>
    <t>эрп</t>
  </si>
  <si>
    <t>р</t>
  </si>
  <si>
    <t>э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</si>
</sst>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3.000000"/>
      <color theme="1"/>
      <name val="Times New Roman"/>
    </font>
    <font>
      <sz val="12.000000"/>
      <color theme="1"/>
      <name val="Times New Roman"/>
    </font>
    <font>
      <b/>
      <sz val="14.000000"/>
      <color theme="1"/>
      <name val="Times New Roman"/>
    </font>
    <font>
      <sz val="11.000000"/>
      <color theme="1"/>
      <name val="Times New Roman"/>
    </font>
    <font>
      <sz val="11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0" numFmtId="0" xfId="0"/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right" vertical="center"/>
    </xf>
    <xf fontId="0" fillId="0" borderId="0" numFmtId="0" xfId="0" applyAlignment="1">
      <alignment vertical="center"/>
    </xf>
    <xf fontId="3" fillId="0" borderId="0" numFmtId="0" xfId="0" applyFont="1" applyAlignment="1">
      <alignment horizontal="center" vertical="center"/>
    </xf>
    <xf fontId="4" fillId="0" borderId="1" numFmtId="0" xfId="0" applyFont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 wrapText="1"/>
    </xf>
    <xf fontId="4" fillId="0" borderId="1" numFmtId="0" xfId="0" applyFont="1" applyBorder="1" applyAlignment="1">
      <alignment horizontal="left" vertical="center" wrapText="1"/>
    </xf>
    <xf fontId="4" fillId="0" borderId="0" numFmtId="0" xfId="0" applyFont="1" applyAlignment="1">
      <alignment horizontal="left" vertical="center" wrapText="1"/>
    </xf>
    <xf fontId="4" fillId="0" borderId="0" numFmtId="0" xfId="0" applyFont="1" applyAlignment="1">
      <alignment horizontal="center" vertical="center" wrapText="1"/>
    </xf>
    <xf fontId="4" fillId="0" borderId="1" numFmtId="4" xfId="0" applyNumberFormat="1" applyFont="1" applyBorder="1" applyAlignment="1">
      <alignment horizontal="center" vertical="center" wrapText="1"/>
    </xf>
    <xf fontId="4" fillId="0" borderId="1" numFmtId="0" xfId="0" applyFont="1" applyBorder="1" applyAlignment="1">
      <alignment vertical="center" wrapText="1"/>
    </xf>
    <xf fontId="2" fillId="0" borderId="2" numFmtId="4" xfId="0" applyNumberFormat="1" applyFont="1" applyBorder="1" applyAlignment="1">
      <alignment horizontal="center" vertical="center" wrapText="1"/>
    </xf>
    <xf fontId="0" fillId="0" borderId="0" numFmtId="4" xfId="0" applyNumberFormat="1"/>
    <xf fontId="2" fillId="0" borderId="0" numFmtId="4" xfId="0" applyNumberFormat="1" applyFont="1" applyAlignment="1">
      <alignment horizontal="center" vertical="center" wrapText="1"/>
    </xf>
    <xf fontId="4" fillId="0" borderId="1" numFmtId="0" xfId="0" applyFont="1" applyBorder="1" applyAlignment="1">
      <alignment wrapText="1"/>
      <protection hidden="0" locked="1"/>
    </xf>
    <xf fontId="4" fillId="0" borderId="0" numFmtId="4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//10.26.1.66/ke_omto/2023/&#1086;&#1090;%20&#1053;&#1057;&#1048;&#1062;%20&#1088;&#1072;&#1089;&#1094;&#1077;&#1085;&#1082;&#1072;/006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анализ цены"/>
      <sheetName val="плановая САП"/>
      <sheetName val="оперативная САП"/>
      <sheetName val="исправленное ТЗ"/>
      <sheetName val="исходное ТЗ"/>
      <sheetName val="Лист2"/>
      <sheetName val="Лист1"/>
      <sheetName val="договор"/>
    </sheetNames>
    <sheetDataSet>
      <sheetData sheetId="0">
        <row r="18">
          <cell r="B18">
            <v>3449820002</v>
          </cell>
          <cell r="C18" t="str">
            <v xml:space="preserve">Наконечник ТМ 95-12-15</v>
          </cell>
          <cell r="D18">
            <v>1</v>
          </cell>
          <cell r="E18">
            <v>95.32</v>
          </cell>
          <cell r="F18">
            <v>95.32</v>
          </cell>
          <cell r="G18" t="str">
            <v xml:space="preserve">Наконечник ТМ 95-12-15</v>
          </cell>
          <cell r="H18">
            <v>95.32</v>
          </cell>
          <cell r="J18">
            <v>87.29</v>
          </cell>
          <cell r="K18">
            <v>91.65</v>
          </cell>
          <cell r="L18">
            <v>87.29</v>
          </cell>
          <cell r="M18">
            <v>90.781600000000012</v>
          </cell>
          <cell r="N18">
            <v>95.32</v>
          </cell>
        </row>
        <row r="19">
          <cell r="B19">
            <v>3449820009</v>
          </cell>
          <cell r="C19" t="str">
            <v xml:space="preserve">Наконечник ТМ 50-10-11</v>
          </cell>
          <cell r="D19">
            <v>1</v>
          </cell>
          <cell r="E19">
            <v>42.71</v>
          </cell>
          <cell r="F19">
            <v>42.71</v>
          </cell>
          <cell r="G19" t="str">
            <v xml:space="preserve">Наконечник ТМ 50-10-11</v>
          </cell>
          <cell r="H19">
            <v>42.71</v>
          </cell>
          <cell r="J19">
            <v>48.12</v>
          </cell>
          <cell r="K19">
            <v>49.56</v>
          </cell>
          <cell r="L19">
            <v>48.12</v>
          </cell>
          <cell r="M19">
            <v>50.044800000000002</v>
          </cell>
          <cell r="N19">
            <v>50.044800000000002</v>
          </cell>
        </row>
        <row r="20">
          <cell r="B20">
            <v>3449820020</v>
          </cell>
          <cell r="C20" t="str">
            <v xml:space="preserve">Наконечник НШВИ 1,5-10</v>
          </cell>
          <cell r="D20">
            <v>1</v>
          </cell>
          <cell r="E20">
            <v>0.75</v>
          </cell>
          <cell r="F20">
            <v>0.75</v>
          </cell>
          <cell r="G20" t="str">
            <v xml:space="preserve">Наконечник НШВИ 1,5-10</v>
          </cell>
          <cell r="H20">
            <v>0.75</v>
          </cell>
          <cell r="J20">
            <v>0.85</v>
          </cell>
          <cell r="K20">
            <v>0.86</v>
          </cell>
          <cell r="L20">
            <v>0.85</v>
          </cell>
          <cell r="M20">
            <v>0.88400000000000001</v>
          </cell>
          <cell r="N20">
            <v>0.88400000000000001</v>
          </cell>
        </row>
        <row r="21">
          <cell r="B21">
            <v>3449820024</v>
          </cell>
          <cell r="C21" t="str">
            <v xml:space="preserve">Наконечник НШВИ 2,5-12</v>
          </cell>
          <cell r="D21">
            <v>1</v>
          </cell>
          <cell r="E21">
            <v>1.04</v>
          </cell>
          <cell r="F21">
            <v>1.04</v>
          </cell>
          <cell r="G21" t="str">
            <v xml:space="preserve">Наконечник НШВИ 2,5-12</v>
          </cell>
          <cell r="H21">
            <v>1.04</v>
          </cell>
          <cell r="J21">
            <v>0.79</v>
          </cell>
          <cell r="K21">
            <v>0.91</v>
          </cell>
          <cell r="L21">
            <v>0.79</v>
          </cell>
          <cell r="M21">
            <v>0.82160000000000011</v>
          </cell>
          <cell r="N21">
            <v>1.04</v>
          </cell>
        </row>
        <row r="22">
          <cell r="B22">
            <v>3449820025</v>
          </cell>
          <cell r="C22" t="str">
            <v xml:space="preserve">Наконечник НШВИ 2,5-10</v>
          </cell>
          <cell r="D22">
            <v>1</v>
          </cell>
          <cell r="E22">
            <v>1.35</v>
          </cell>
          <cell r="F22">
            <v>1.35</v>
          </cell>
          <cell r="G22" t="str">
            <v xml:space="preserve">Наконечник НШВИ 2,5-10</v>
          </cell>
          <cell r="H22">
            <v>1.35</v>
          </cell>
          <cell r="J22">
            <v>0.75</v>
          </cell>
          <cell r="K22">
            <v>0.79</v>
          </cell>
          <cell r="L22">
            <v>0.75</v>
          </cell>
          <cell r="M22">
            <v>0.78</v>
          </cell>
          <cell r="N22">
            <v>1.35</v>
          </cell>
        </row>
        <row r="23">
          <cell r="B23">
            <v>3449820028</v>
          </cell>
          <cell r="C23" t="str">
            <v xml:space="preserve">Наконечник НВИ 1,5-4</v>
          </cell>
          <cell r="D23">
            <v>1</v>
          </cell>
          <cell r="E23">
            <v>2.17</v>
          </cell>
          <cell r="F23">
            <v>2.17</v>
          </cell>
          <cell r="G23" t="str">
            <v xml:space="preserve">Наконечник НВИ 1,5-4</v>
          </cell>
          <cell r="H23">
            <v>2.17</v>
          </cell>
          <cell r="J23">
            <v>2.0099999999999998</v>
          </cell>
          <cell r="K23">
            <v>2.09</v>
          </cell>
          <cell r="L23">
            <v>2.0099999999999998</v>
          </cell>
          <cell r="M23">
            <v>2.0903999999999998</v>
          </cell>
          <cell r="N23">
            <v>2.17</v>
          </cell>
        </row>
        <row r="24">
          <cell r="B24">
            <v>3449820029</v>
          </cell>
          <cell r="C24" t="str">
            <v xml:space="preserve">Наконечник НВИ 2,5-4</v>
          </cell>
          <cell r="D24">
            <v>1</v>
          </cell>
          <cell r="E24">
            <v>1.76</v>
          </cell>
          <cell r="F24">
            <v>1.76</v>
          </cell>
          <cell r="G24" t="str">
            <v xml:space="preserve">Наконечник НВИ 2,5-4</v>
          </cell>
          <cell r="H24">
            <v>1.76</v>
          </cell>
          <cell r="J24">
            <v>1.55</v>
          </cell>
          <cell r="K24">
            <v>1.81</v>
          </cell>
          <cell r="L24">
            <v>1.55</v>
          </cell>
          <cell r="M24">
            <v>1.6120000000000001</v>
          </cell>
          <cell r="N24">
            <v>1.76</v>
          </cell>
        </row>
        <row r="25">
          <cell r="B25">
            <v>3449820066</v>
          </cell>
          <cell r="C25" t="str">
            <v xml:space="preserve">Наконечник НШВИ 1,5-12</v>
          </cell>
          <cell r="D25">
            <v>1</v>
          </cell>
          <cell r="E25">
            <v>0.8</v>
          </cell>
          <cell r="F25">
            <v>0.8</v>
          </cell>
          <cell r="G25" t="str">
            <v xml:space="preserve">Наконечник НШВИ 1,5-12</v>
          </cell>
          <cell r="H25">
            <v>0.8</v>
          </cell>
          <cell r="J25">
            <v>0.56999999999999995</v>
          </cell>
          <cell r="K25">
            <v>0.82</v>
          </cell>
          <cell r="L25">
            <v>0.56999999999999995</v>
          </cell>
          <cell r="M25">
            <v>0.59279999999999999</v>
          </cell>
          <cell r="N25">
            <v>0.8</v>
          </cell>
        </row>
        <row r="26">
          <cell r="B26">
            <v>3449870006</v>
          </cell>
          <cell r="C26" t="str">
            <v xml:space="preserve">Гильза ГА 95-13</v>
          </cell>
          <cell r="D26">
            <v>1</v>
          </cell>
          <cell r="E26">
            <v>24.37</v>
          </cell>
          <cell r="F26">
            <v>24.37</v>
          </cell>
          <cell r="G26" t="str">
            <v xml:space="preserve">Гильза ГА 95-13</v>
          </cell>
          <cell r="H26">
            <v>24.37</v>
          </cell>
          <cell r="J26">
            <v>26.43</v>
          </cell>
          <cell r="K26">
            <v>25.42</v>
          </cell>
          <cell r="L26">
            <v>25.42</v>
          </cell>
          <cell r="M26">
            <v>26.436800000000002</v>
          </cell>
          <cell r="N26">
            <v>26.436800000000002</v>
          </cell>
        </row>
        <row r="27">
          <cell r="B27">
            <v>3449870009</v>
          </cell>
          <cell r="C27" t="str">
            <v xml:space="preserve">Гильза ГА 70-11</v>
          </cell>
          <cell r="D27">
            <v>1</v>
          </cell>
          <cell r="E27">
            <v>17.940000000000001</v>
          </cell>
          <cell r="F27">
            <v>17.940000000000001</v>
          </cell>
          <cell r="G27" t="str">
            <v xml:space="preserve">Гильза ГА 70-11</v>
          </cell>
          <cell r="H27">
            <v>17.940000000000001</v>
          </cell>
          <cell r="J27">
            <v>18.66</v>
          </cell>
          <cell r="K27">
            <v>20.8</v>
          </cell>
          <cell r="L27">
            <v>18.66</v>
          </cell>
          <cell r="M27">
            <v>19.406400000000001</v>
          </cell>
          <cell r="N27">
            <v>19.406400000000001</v>
          </cell>
        </row>
        <row r="28">
          <cell r="B28">
            <v>3449870013</v>
          </cell>
          <cell r="C28" t="str">
            <v xml:space="preserve">Гильза ГА 120-14</v>
          </cell>
          <cell r="D28">
            <v>1</v>
          </cell>
          <cell r="E28">
            <v>37.28</v>
          </cell>
          <cell r="F28">
            <v>37.28</v>
          </cell>
          <cell r="G28" t="str">
            <v xml:space="preserve">Гильза ГА 120-14</v>
          </cell>
          <cell r="H28">
            <v>37.28</v>
          </cell>
          <cell r="J28">
            <v>35.89</v>
          </cell>
          <cell r="K28">
            <v>34.01</v>
          </cell>
          <cell r="L28">
            <v>34.01</v>
          </cell>
          <cell r="M28">
            <v>35.370399999999997</v>
          </cell>
          <cell r="N28">
            <v>37.28</v>
          </cell>
        </row>
        <row r="29">
          <cell r="B29">
            <v>3599000054</v>
          </cell>
          <cell r="C29" t="str">
            <v xml:space="preserve">Наконечник ТА 25-8-7</v>
          </cell>
          <cell r="D29">
            <v>1</v>
          </cell>
          <cell r="E29">
            <v>7.76</v>
          </cell>
          <cell r="F29">
            <v>7.76</v>
          </cell>
          <cell r="G29" t="str">
            <v xml:space="preserve">Наконечник ТА 25-8-7</v>
          </cell>
          <cell r="H29">
            <v>7.76</v>
          </cell>
          <cell r="J29">
            <v>10.24</v>
          </cell>
          <cell r="K29">
            <v>12.71</v>
          </cell>
          <cell r="L29">
            <v>10.24</v>
          </cell>
          <cell r="M29">
            <v>10.649600000000001</v>
          </cell>
          <cell r="N29">
            <v>10.649600000000001</v>
          </cell>
        </row>
        <row r="30">
          <cell r="B30">
            <v>3599000055</v>
          </cell>
          <cell r="C30" t="str">
            <v xml:space="preserve">Наконечник ТА 35-10-8</v>
          </cell>
          <cell r="D30">
            <v>1</v>
          </cell>
          <cell r="E30">
            <v>11.07</v>
          </cell>
          <cell r="F30">
            <v>11.07</v>
          </cell>
          <cell r="G30" t="str">
            <v xml:space="preserve">Наконечник ТА 35-10-8</v>
          </cell>
          <cell r="H30">
            <v>11.07</v>
          </cell>
          <cell r="J30">
            <v>12.42</v>
          </cell>
          <cell r="K30">
            <v>14.44</v>
          </cell>
          <cell r="L30">
            <v>12.42</v>
          </cell>
          <cell r="M30">
            <v>12.9168</v>
          </cell>
          <cell r="N30">
            <v>12.9168</v>
          </cell>
        </row>
        <row r="31">
          <cell r="B31">
            <v>3599000056</v>
          </cell>
          <cell r="C31" t="str">
            <v xml:space="preserve">Наконечник ТА 50-10-9</v>
          </cell>
          <cell r="D31">
            <v>1</v>
          </cell>
          <cell r="E31">
            <v>15.6</v>
          </cell>
          <cell r="F31">
            <v>15.6</v>
          </cell>
          <cell r="G31" t="str">
            <v xml:space="preserve">Наконечник ТА 50-10-9</v>
          </cell>
          <cell r="H31">
            <v>15.6</v>
          </cell>
          <cell r="J31">
            <v>17.850000000000001</v>
          </cell>
          <cell r="K31">
            <v>19.8</v>
          </cell>
          <cell r="L31">
            <v>17.850000000000001</v>
          </cell>
          <cell r="M31">
            <v>18.564000000000004</v>
          </cell>
          <cell r="N31">
            <v>18.564000000000004</v>
          </cell>
        </row>
        <row r="32">
          <cell r="B32">
            <v>3599000057</v>
          </cell>
          <cell r="C32" t="str">
            <v xml:space="preserve">Наконечник ТА 70-10-12</v>
          </cell>
          <cell r="D32">
            <v>1</v>
          </cell>
          <cell r="E32">
            <v>19.87</v>
          </cell>
          <cell r="F32">
            <v>19.87</v>
          </cell>
          <cell r="G32" t="str">
            <v xml:space="preserve">Наконечник ТА 70-10-12</v>
          </cell>
          <cell r="H32">
            <v>19.87</v>
          </cell>
          <cell r="J32">
            <v>23.82</v>
          </cell>
          <cell r="K32">
            <v>24.15</v>
          </cell>
          <cell r="L32">
            <v>23.82</v>
          </cell>
          <cell r="M32">
            <v>24.7728</v>
          </cell>
          <cell r="N32">
            <v>24.7728</v>
          </cell>
        </row>
        <row r="33">
          <cell r="B33">
            <v>3599000058</v>
          </cell>
          <cell r="C33" t="str">
            <v xml:space="preserve">Наконечник ТА 95-12-13</v>
          </cell>
          <cell r="D33">
            <v>1</v>
          </cell>
          <cell r="E33">
            <v>24.06</v>
          </cell>
          <cell r="F33">
            <v>24.06</v>
          </cell>
          <cell r="G33" t="str">
            <v xml:space="preserve">Наконечник ТА 95-12-13</v>
          </cell>
          <cell r="H33">
            <v>24.06</v>
          </cell>
          <cell r="J33">
            <v>32.39</v>
          </cell>
          <cell r="K33">
            <v>31.6</v>
          </cell>
          <cell r="L33">
            <v>31.6</v>
          </cell>
          <cell r="M33">
            <v>32.864000000000004</v>
          </cell>
          <cell r="N33">
            <v>32.864000000000004</v>
          </cell>
        </row>
        <row r="34">
          <cell r="B34">
            <v>3599000205</v>
          </cell>
          <cell r="C34" t="str">
            <v xml:space="preserve">Наконечник НВИ 2,5-6</v>
          </cell>
          <cell r="D34">
            <v>1</v>
          </cell>
          <cell r="E34">
            <v>2.4300000000000002</v>
          </cell>
          <cell r="F34">
            <v>2.4300000000000002</v>
          </cell>
          <cell r="G34" t="str">
            <v xml:space="preserve">Наконечник НВИ 2,5-6</v>
          </cell>
          <cell r="H34">
            <v>2.4300000000000002</v>
          </cell>
          <cell r="J34">
            <v>2.34</v>
          </cell>
          <cell r="L34">
            <v>2.34</v>
          </cell>
          <cell r="M34">
            <v>2.4335999999999998</v>
          </cell>
          <cell r="N34">
            <v>2.4335999999999998</v>
          </cell>
        </row>
        <row r="35">
          <cell r="B35">
            <v>3599000315</v>
          </cell>
          <cell r="C35" t="str">
            <v xml:space="preserve">Наконечник ТМЛ 70-10-13</v>
          </cell>
          <cell r="D35">
            <v>1</v>
          </cell>
          <cell r="E35">
            <v>61.95</v>
          </cell>
          <cell r="F35">
            <v>61.95</v>
          </cell>
          <cell r="G35" t="str">
            <v xml:space="preserve">Наконечник ТМЛ 70-10-13</v>
          </cell>
          <cell r="H35">
            <v>61.95</v>
          </cell>
          <cell r="J35">
            <v>56.19</v>
          </cell>
          <cell r="K35">
            <v>52.51</v>
          </cell>
          <cell r="L35">
            <v>52.51</v>
          </cell>
          <cell r="M35">
            <v>54.610399999999998</v>
          </cell>
          <cell r="N35">
            <v>61.95</v>
          </cell>
        </row>
        <row r="36">
          <cell r="B36">
            <v>3449820008</v>
          </cell>
          <cell r="C36" t="str">
            <v xml:space="preserve">Наконечник ТМ 35-10-10</v>
          </cell>
          <cell r="D36">
            <v>1</v>
          </cell>
          <cell r="E36">
            <v>35.130000000000003</v>
          </cell>
          <cell r="F36">
            <v>35.130000000000003</v>
          </cell>
          <cell r="G36" t="str">
            <v xml:space="preserve">Наконечник ТМ 35-10-10</v>
          </cell>
          <cell r="H36">
            <v>35.130000000000003</v>
          </cell>
          <cell r="J36">
            <v>32.19</v>
          </cell>
          <cell r="K36">
            <v>47.79</v>
          </cell>
          <cell r="L36">
            <v>32.19</v>
          </cell>
          <cell r="M36">
            <v>33.477599999999995</v>
          </cell>
          <cell r="N36">
            <v>35.130000000000003</v>
          </cell>
        </row>
        <row r="37">
          <cell r="B37">
            <v>3449820059</v>
          </cell>
          <cell r="C37" t="str">
            <v xml:space="preserve">Наконечник ТМ 25-6-8</v>
          </cell>
          <cell r="D37">
            <v>1</v>
          </cell>
          <cell r="E37">
            <v>18.96</v>
          </cell>
          <cell r="F37">
            <v>18.96</v>
          </cell>
          <cell r="G37" t="str">
            <v xml:space="preserve">Наконечник ТМ 25-6-8</v>
          </cell>
          <cell r="H37">
            <v>18.96</v>
          </cell>
          <cell r="J37">
            <v>16.940000000000001</v>
          </cell>
          <cell r="K37">
            <v>21.82</v>
          </cell>
          <cell r="L37">
            <v>16.940000000000001</v>
          </cell>
          <cell r="M37">
            <v>17.617600000000003</v>
          </cell>
          <cell r="N37">
            <v>18.96</v>
          </cell>
        </row>
        <row r="38">
          <cell r="B38">
            <v>3449830008</v>
          </cell>
          <cell r="C38" t="str">
            <v xml:space="preserve">Наконечник ТА 16-8-5,4</v>
          </cell>
          <cell r="D38">
            <v>1</v>
          </cell>
          <cell r="E38">
            <v>6.64</v>
          </cell>
          <cell r="F38">
            <v>6.64</v>
          </cell>
          <cell r="G38" t="str">
            <v xml:space="preserve">Наконечник ТА 16-8-5,4</v>
          </cell>
          <cell r="H38">
            <v>6.64</v>
          </cell>
          <cell r="J38">
            <v>8.75</v>
          </cell>
          <cell r="K38">
            <v>9.0500000000000007</v>
          </cell>
          <cell r="L38">
            <v>8.75</v>
          </cell>
          <cell r="M38">
            <v>9.1</v>
          </cell>
          <cell r="N38">
            <v>9.1</v>
          </cell>
        </row>
        <row r="39">
          <cell r="B39">
            <v>3449850013</v>
          </cell>
          <cell r="C39" t="str">
            <v xml:space="preserve">Наконечник ТАМ 50-10-9</v>
          </cell>
          <cell r="D39">
            <v>1</v>
          </cell>
          <cell r="E39">
            <v>40.1</v>
          </cell>
          <cell r="F39">
            <v>40.1</v>
          </cell>
          <cell r="G39" t="str">
            <v xml:space="preserve">Наконечник ТАМ 50-10-9</v>
          </cell>
          <cell r="H39">
            <v>40.1</v>
          </cell>
          <cell r="J39">
            <v>44.4</v>
          </cell>
          <cell r="K39">
            <v>32.96</v>
          </cell>
          <cell r="L39">
            <v>32.96</v>
          </cell>
          <cell r="M39">
            <v>34.278400000000005</v>
          </cell>
          <cell r="N39">
            <v>40.1</v>
          </cell>
        </row>
        <row r="40">
          <cell r="B40">
            <v>3449810002</v>
          </cell>
          <cell r="C40" t="str">
            <v xml:space="preserve">Наконечник НШВИ 0,75-12</v>
          </cell>
          <cell r="D40">
            <v>1</v>
          </cell>
          <cell r="E40">
            <v>0.8</v>
          </cell>
          <cell r="F40">
            <v>0.8</v>
          </cell>
          <cell r="G40" t="str">
            <v xml:space="preserve">Наконечник НШВИ 0,75-12</v>
          </cell>
          <cell r="H40">
            <v>0.8</v>
          </cell>
          <cell r="J40">
            <v>0.7</v>
          </cell>
          <cell r="K40">
            <v>0.71</v>
          </cell>
          <cell r="L40">
            <v>0.7</v>
          </cell>
          <cell r="M40">
            <v>0.72799999999999998</v>
          </cell>
          <cell r="N40">
            <v>0.8</v>
          </cell>
        </row>
        <row r="41">
          <cell r="B41">
            <v>3449820005</v>
          </cell>
          <cell r="C41" t="str">
            <v xml:space="preserve">Наконечник ТМ 70-10-13</v>
          </cell>
          <cell r="D41">
            <v>1</v>
          </cell>
          <cell r="E41">
            <v>60.14</v>
          </cell>
          <cell r="F41">
            <v>60.14</v>
          </cell>
          <cell r="G41" t="str">
            <v xml:space="preserve">Наконечник ТМ 70-10-13</v>
          </cell>
          <cell r="H41">
            <v>60.14</v>
          </cell>
          <cell r="J41">
            <v>55.3</v>
          </cell>
          <cell r="K41">
            <v>62.64</v>
          </cell>
          <cell r="L41">
            <v>55.3</v>
          </cell>
          <cell r="M41">
            <v>57.512</v>
          </cell>
          <cell r="N41">
            <v>60.14</v>
          </cell>
        </row>
        <row r="42">
          <cell r="B42">
            <v>3449820018</v>
          </cell>
          <cell r="C42" t="str">
            <v xml:space="preserve">Наконечник НВИ 1,5-5</v>
          </cell>
          <cell r="D42">
            <v>1</v>
          </cell>
          <cell r="E42">
            <v>1.46</v>
          </cell>
          <cell r="F42">
            <v>1.46</v>
          </cell>
          <cell r="G42" t="str">
            <v xml:space="preserve">Наконечник НВИ 1,5-5</v>
          </cell>
          <cell r="H42">
            <v>1.46</v>
          </cell>
          <cell r="J42">
            <v>2.4500000000000002</v>
          </cell>
          <cell r="L42">
            <v>2.4500000000000002</v>
          </cell>
          <cell r="M42">
            <v>2.5480000000000005</v>
          </cell>
          <cell r="N42">
            <v>2.5480000000000005</v>
          </cell>
        </row>
        <row r="43">
          <cell r="B43">
            <v>3449820019</v>
          </cell>
          <cell r="C43" t="str">
            <v xml:space="preserve">Наконечник НШВИ 1-12</v>
          </cell>
          <cell r="D43">
            <v>1</v>
          </cell>
          <cell r="E43">
            <v>0.67</v>
          </cell>
          <cell r="F43">
            <v>0.67</v>
          </cell>
          <cell r="G43" t="str">
            <v xml:space="preserve">Наконечник НШВИ 1-12</v>
          </cell>
          <cell r="H43">
            <v>0.67</v>
          </cell>
          <cell r="J43">
            <v>0.61</v>
          </cell>
          <cell r="K43">
            <v>0.61</v>
          </cell>
          <cell r="L43">
            <v>0.61</v>
          </cell>
          <cell r="M43">
            <v>0.63439999999999996</v>
          </cell>
          <cell r="N43">
            <v>0.67</v>
          </cell>
        </row>
        <row r="44">
          <cell r="B44">
            <v>3449820026</v>
          </cell>
          <cell r="C44" t="str">
            <v xml:space="preserve">Наконечник НКИ 1,5-4</v>
          </cell>
          <cell r="D44">
            <v>1</v>
          </cell>
          <cell r="E44">
            <v>1.6</v>
          </cell>
          <cell r="F44">
            <v>1.6</v>
          </cell>
          <cell r="G44" t="str">
            <v xml:space="preserve">Наконечник НКИ 1,5-4</v>
          </cell>
          <cell r="H44">
            <v>1.6</v>
          </cell>
          <cell r="J44">
            <v>1.49</v>
          </cell>
          <cell r="K44">
            <v>1.49</v>
          </cell>
          <cell r="L44">
            <v>1.49</v>
          </cell>
          <cell r="M44">
            <v>1.5496000000000001</v>
          </cell>
          <cell r="N44">
            <v>1.6</v>
          </cell>
        </row>
        <row r="45">
          <cell r="B45">
            <v>3449820041</v>
          </cell>
          <cell r="C45" t="str">
            <v xml:space="preserve">Наконечник ТМ 10-8-5</v>
          </cell>
          <cell r="D45">
            <v>1</v>
          </cell>
          <cell r="E45">
            <v>11.11</v>
          </cell>
          <cell r="F45">
            <v>11.11</v>
          </cell>
          <cell r="G45" t="str">
            <v xml:space="preserve">Наконечник ТМ 10-8-5</v>
          </cell>
          <cell r="H45">
            <v>11.11</v>
          </cell>
          <cell r="J45">
            <v>8.27</v>
          </cell>
          <cell r="K45">
            <v>15.77</v>
          </cell>
          <cell r="L45">
            <v>8.27</v>
          </cell>
          <cell r="M45">
            <v>8.6007999999999996</v>
          </cell>
          <cell r="N45">
            <v>11.11</v>
          </cell>
        </row>
        <row r="46">
          <cell r="B46">
            <v>3449820046</v>
          </cell>
          <cell r="C46" t="str">
            <v xml:space="preserve">Наконечник НШВИ 2 1,5-8</v>
          </cell>
          <cell r="D46">
            <v>1</v>
          </cell>
          <cell r="E46">
            <v>1.25</v>
          </cell>
          <cell r="F46">
            <v>1.25</v>
          </cell>
          <cell r="G46" t="str">
            <v xml:space="preserve">Наконечник НШВИ 2 1,5-8</v>
          </cell>
          <cell r="H46">
            <v>1.25</v>
          </cell>
          <cell r="J46">
            <v>1.1599999999999999</v>
          </cell>
          <cell r="L46">
            <v>1.1599999999999999</v>
          </cell>
          <cell r="M46">
            <v>1.2063999999999999</v>
          </cell>
          <cell r="N46">
            <v>1.25</v>
          </cell>
        </row>
        <row r="47">
          <cell r="B47">
            <v>3449820051</v>
          </cell>
          <cell r="C47" t="str">
            <v xml:space="preserve">Наконечник НШвИ 2 0,5-8</v>
          </cell>
          <cell r="D47">
            <v>1</v>
          </cell>
          <cell r="E47">
            <v>1.29</v>
          </cell>
          <cell r="F47">
            <v>1.29</v>
          </cell>
          <cell r="G47" t="str">
            <v xml:space="preserve">Наконечник НШвИ 2 0,5-8</v>
          </cell>
          <cell r="H47">
            <v>1.29</v>
          </cell>
          <cell r="J47">
            <v>1.1299999999999999</v>
          </cell>
          <cell r="K47">
            <v>0.71</v>
          </cell>
          <cell r="L47">
            <v>0.71</v>
          </cell>
          <cell r="M47">
            <v>0.73839999999999995</v>
          </cell>
          <cell r="N47">
            <v>1.29</v>
          </cell>
        </row>
        <row r="48">
          <cell r="B48">
            <v>3449820052</v>
          </cell>
          <cell r="C48" t="str">
            <v xml:space="preserve">Наконечник НШвИ 2 0,75-10</v>
          </cell>
          <cell r="D48">
            <v>1</v>
          </cell>
          <cell r="E48">
            <v>1.06</v>
          </cell>
          <cell r="F48">
            <v>1.06</v>
          </cell>
          <cell r="G48" t="str">
            <v xml:space="preserve">Наконечник НШвИ 2 0,75-10</v>
          </cell>
          <cell r="H48">
            <v>1.06</v>
          </cell>
          <cell r="J48">
            <v>0.99</v>
          </cell>
          <cell r="K48">
            <v>1.1399999999999999</v>
          </cell>
          <cell r="L48">
            <v>0.99</v>
          </cell>
          <cell r="M48">
            <v>1.0296000000000001</v>
          </cell>
          <cell r="N48">
            <v>1.06</v>
          </cell>
        </row>
        <row r="49">
          <cell r="B49">
            <v>3449820053</v>
          </cell>
          <cell r="C49" t="str">
            <v xml:space="preserve">Наконечник НШвИ 2 1,0-10</v>
          </cell>
          <cell r="D49">
            <v>1</v>
          </cell>
          <cell r="E49">
            <v>1.08</v>
          </cell>
          <cell r="F49">
            <v>1.08</v>
          </cell>
          <cell r="G49" t="str">
            <v xml:space="preserve">Наконечник НШвИ 2 1,0-10</v>
          </cell>
          <cell r="H49">
            <v>1.08</v>
          </cell>
          <cell r="J49">
            <v>0.99</v>
          </cell>
          <cell r="K49">
            <v>1.26</v>
          </cell>
          <cell r="L49">
            <v>0.99</v>
          </cell>
          <cell r="M49">
            <v>1.0296000000000001</v>
          </cell>
          <cell r="N49">
            <v>1.08</v>
          </cell>
        </row>
        <row r="50">
          <cell r="B50">
            <v>3449830001</v>
          </cell>
          <cell r="C50" t="str">
            <v xml:space="preserve">Гильза ГА 50-9</v>
          </cell>
          <cell r="D50">
            <v>1</v>
          </cell>
          <cell r="E50">
            <v>21.63</v>
          </cell>
          <cell r="F50">
            <v>21.63</v>
          </cell>
          <cell r="G50" t="str">
            <v xml:space="preserve">Гильза ГА 50-9</v>
          </cell>
          <cell r="H50">
            <v>21.63</v>
          </cell>
          <cell r="J50">
            <v>19.47</v>
          </cell>
          <cell r="K50">
            <v>19.47</v>
          </cell>
          <cell r="L50">
            <v>19.47</v>
          </cell>
          <cell r="M50">
            <v>20.248799999999999</v>
          </cell>
          <cell r="N50">
            <v>21.63</v>
          </cell>
        </row>
        <row r="51">
          <cell r="B51">
            <v>3449850014</v>
          </cell>
          <cell r="C51" t="str">
            <v xml:space="preserve">Наконечник ТАМ 70-10-12</v>
          </cell>
          <cell r="D51">
            <v>1</v>
          </cell>
          <cell r="E51">
            <v>48.87</v>
          </cell>
          <cell r="F51">
            <v>48.87</v>
          </cell>
          <cell r="G51" t="str">
            <v xml:space="preserve">Наконечник ТАМ 70-10-12</v>
          </cell>
          <cell r="H51">
            <v>48.87</v>
          </cell>
          <cell r="J51">
            <v>59.8</v>
          </cell>
          <cell r="K51">
            <v>47.77</v>
          </cell>
          <cell r="L51">
            <v>47.77</v>
          </cell>
          <cell r="M51">
            <v>49.680800000000005</v>
          </cell>
          <cell r="N51">
            <v>49.680800000000005</v>
          </cell>
        </row>
        <row r="52">
          <cell r="B52">
            <v>3449870015</v>
          </cell>
          <cell r="C52" t="str">
            <v xml:space="preserve">Гильза ГА 35-8</v>
          </cell>
          <cell r="D52">
            <v>1</v>
          </cell>
          <cell r="E52">
            <v>15.43</v>
          </cell>
          <cell r="F52">
            <v>15.43</v>
          </cell>
          <cell r="G52" t="str">
            <v xml:space="preserve">Гильза ГА 35-8</v>
          </cell>
          <cell r="H52">
            <v>15.43</v>
          </cell>
          <cell r="J52">
            <v>14.84</v>
          </cell>
          <cell r="K52">
            <v>14.84</v>
          </cell>
          <cell r="L52">
            <v>14.84</v>
          </cell>
          <cell r="M52">
            <v>15.4336</v>
          </cell>
          <cell r="N52">
            <v>15.4336</v>
          </cell>
        </row>
        <row r="53">
          <cell r="B53">
            <v>3449870016</v>
          </cell>
          <cell r="C53" t="str">
            <v xml:space="preserve">Гильза ГА 70-12</v>
          </cell>
          <cell r="D53">
            <v>1</v>
          </cell>
          <cell r="E53">
            <v>20.92</v>
          </cell>
          <cell r="F53">
            <v>20.92</v>
          </cell>
          <cell r="G53" t="str">
            <v xml:space="preserve">Гильза ГА 70-12</v>
          </cell>
          <cell r="H53">
            <v>20.92</v>
          </cell>
          <cell r="J53">
            <v>17.2</v>
          </cell>
          <cell r="L53">
            <v>17.2</v>
          </cell>
          <cell r="M53">
            <v>17.887999999999998</v>
          </cell>
          <cell r="N53">
            <v>20.92</v>
          </cell>
        </row>
        <row r="54">
          <cell r="B54">
            <v>3449870020</v>
          </cell>
          <cell r="C54" t="str">
            <v xml:space="preserve">Гильза 4СБ-25/50</v>
          </cell>
          <cell r="D54">
            <v>1</v>
          </cell>
          <cell r="E54">
            <v>198.95</v>
          </cell>
          <cell r="F54">
            <v>198.95</v>
          </cell>
          <cell r="G54" t="str">
            <v xml:space="preserve">Гильза 4СБ-25/50</v>
          </cell>
          <cell r="H54">
            <v>198.95</v>
          </cell>
          <cell r="J54">
            <v>172.87</v>
          </cell>
          <cell r="L54">
            <v>172.87</v>
          </cell>
          <cell r="M54">
            <v>179.78480000000002</v>
          </cell>
          <cell r="N54">
            <v>198.95</v>
          </cell>
        </row>
        <row r="55">
          <cell r="B55">
            <v>3449870021</v>
          </cell>
          <cell r="C55" t="str">
            <v xml:space="preserve">Гильза 4СБ-70/120</v>
          </cell>
          <cell r="D55">
            <v>1</v>
          </cell>
          <cell r="E55">
            <v>244.74</v>
          </cell>
          <cell r="F55">
            <v>244.74</v>
          </cell>
          <cell r="G55" t="str">
            <v xml:space="preserve">Гильза 4СБ-70/120</v>
          </cell>
          <cell r="H55">
            <v>244.74</v>
          </cell>
          <cell r="J55">
            <v>235.33</v>
          </cell>
          <cell r="K55">
            <v>235.33</v>
          </cell>
          <cell r="L55">
            <v>235.33</v>
          </cell>
          <cell r="M55">
            <v>244.74320000000003</v>
          </cell>
          <cell r="N55">
            <v>244.74320000000003</v>
          </cell>
        </row>
        <row r="56">
          <cell r="B56">
            <v>3449870022</v>
          </cell>
          <cell r="C56" t="str">
            <v xml:space="preserve">Гильза 4СБ-150/240</v>
          </cell>
          <cell r="D56">
            <v>1</v>
          </cell>
          <cell r="E56">
            <v>286.94</v>
          </cell>
          <cell r="F56">
            <v>286.94</v>
          </cell>
          <cell r="G56" t="str">
            <v xml:space="preserve">Гильза 4СБ-150/240</v>
          </cell>
          <cell r="H56">
            <v>286.94</v>
          </cell>
          <cell r="J56">
            <v>338.1</v>
          </cell>
          <cell r="K56">
            <v>338.1</v>
          </cell>
          <cell r="L56">
            <v>338.1</v>
          </cell>
          <cell r="M56">
            <v>351.62400000000002</v>
          </cell>
          <cell r="N56">
            <v>351.62400000000002</v>
          </cell>
        </row>
        <row r="57">
          <cell r="B57">
            <v>3449870025</v>
          </cell>
          <cell r="C57" t="str">
            <v xml:space="preserve">Гильза ГА 150-17</v>
          </cell>
          <cell r="D57">
            <v>1</v>
          </cell>
          <cell r="E57">
            <v>36.659999999999997</v>
          </cell>
          <cell r="F57">
            <v>36.659999999999997</v>
          </cell>
          <cell r="G57" t="str">
            <v xml:space="preserve">Гильза ГА 150-17</v>
          </cell>
          <cell r="H57">
            <v>36.659999999999997</v>
          </cell>
          <cell r="J57">
            <v>30.86</v>
          </cell>
          <cell r="K57">
            <v>35.6</v>
          </cell>
          <cell r="L57">
            <v>30.86</v>
          </cell>
          <cell r="M57">
            <v>32.0944</v>
          </cell>
          <cell r="N57">
            <v>36.659999999999997</v>
          </cell>
        </row>
        <row r="58">
          <cell r="B58">
            <v>3449870026</v>
          </cell>
          <cell r="C58" t="str">
            <v xml:space="preserve">Гильза ГА 240-20</v>
          </cell>
          <cell r="D58">
            <v>1</v>
          </cell>
          <cell r="E58">
            <v>72.42</v>
          </cell>
          <cell r="F58">
            <v>72.42</v>
          </cell>
          <cell r="G58" t="str">
            <v xml:space="preserve">Гильза ГА 240-20</v>
          </cell>
          <cell r="H58">
            <v>72.42</v>
          </cell>
          <cell r="J58">
            <v>52.98</v>
          </cell>
          <cell r="L58">
            <v>52.98</v>
          </cell>
          <cell r="M58">
            <v>55.099199999999996</v>
          </cell>
          <cell r="N58">
            <v>72.42</v>
          </cell>
        </row>
        <row r="59">
          <cell r="B59">
            <v>3449950282</v>
          </cell>
          <cell r="C59" t="str">
            <v xml:space="preserve">Наконечник НКИ 2,5-6</v>
          </cell>
          <cell r="D59">
            <v>1</v>
          </cell>
          <cell r="E59">
            <v>3.85</v>
          </cell>
          <cell r="F59">
            <v>3.85</v>
          </cell>
          <cell r="G59" t="str">
            <v xml:space="preserve">Наконечник НКИ 2,5-6</v>
          </cell>
          <cell r="H59">
            <v>3.85</v>
          </cell>
          <cell r="J59">
            <v>2.85</v>
          </cell>
          <cell r="K59">
            <v>2.85</v>
          </cell>
          <cell r="L59">
            <v>2.85</v>
          </cell>
          <cell r="M59">
            <v>2.9640000000000004</v>
          </cell>
          <cell r="N59">
            <v>3.85</v>
          </cell>
        </row>
        <row r="60">
          <cell r="B60">
            <v>3599000051</v>
          </cell>
          <cell r="C60" t="str">
            <v xml:space="preserve">Наконечник ТА 120-12-14</v>
          </cell>
          <cell r="D60">
            <v>1</v>
          </cell>
          <cell r="E60">
            <v>32</v>
          </cell>
          <cell r="F60">
            <v>32</v>
          </cell>
          <cell r="G60" t="str">
            <v xml:space="preserve">Наконечник ТА 120-12-14</v>
          </cell>
          <cell r="H60">
            <v>32</v>
          </cell>
          <cell r="J60">
            <v>28.89</v>
          </cell>
          <cell r="K60">
            <v>28.89</v>
          </cell>
          <cell r="L60">
            <v>28.89</v>
          </cell>
          <cell r="M60">
            <v>30.0456</v>
          </cell>
          <cell r="N60">
            <v>32</v>
          </cell>
        </row>
        <row r="61">
          <cell r="B61">
            <v>3599000052</v>
          </cell>
          <cell r="C61" t="str">
            <v xml:space="preserve">Наконечник ТА 150-12-17</v>
          </cell>
          <cell r="D61">
            <v>1</v>
          </cell>
          <cell r="E61">
            <v>41.5</v>
          </cell>
          <cell r="F61">
            <v>41.5</v>
          </cell>
          <cell r="G61" t="str">
            <v xml:space="preserve">Наконечник ТА 150-12-17</v>
          </cell>
          <cell r="H61">
            <v>41.5</v>
          </cell>
          <cell r="J61">
            <v>39.380000000000003</v>
          </cell>
          <cell r="K61">
            <v>39.64</v>
          </cell>
          <cell r="L61">
            <v>39.380000000000003</v>
          </cell>
          <cell r="M61">
            <v>40.955200000000005</v>
          </cell>
          <cell r="N61">
            <v>41.5</v>
          </cell>
        </row>
        <row r="62">
          <cell r="B62">
            <v>3599000062</v>
          </cell>
          <cell r="C62" t="str">
            <v xml:space="preserve">Наконечник ТМ 16-6-6</v>
          </cell>
          <cell r="D62">
            <v>1</v>
          </cell>
          <cell r="E62">
            <v>15.77</v>
          </cell>
          <cell r="F62">
            <v>15.77</v>
          </cell>
          <cell r="G62" t="str">
            <v xml:space="preserve">Наконечник ТМ 16-6-6</v>
          </cell>
          <cell r="H62">
            <v>15.77</v>
          </cell>
          <cell r="J62">
            <v>14.44</v>
          </cell>
          <cell r="K62">
            <v>21.64</v>
          </cell>
          <cell r="L62">
            <v>14.44</v>
          </cell>
          <cell r="M62">
            <v>15.0176</v>
          </cell>
          <cell r="N62">
            <v>15.77</v>
          </cell>
        </row>
        <row r="63">
          <cell r="B63">
            <v>3599000225</v>
          </cell>
          <cell r="C63" t="str">
            <v xml:space="preserve">Наконечник НШКИ 1,5-12</v>
          </cell>
          <cell r="D63">
            <v>1</v>
          </cell>
          <cell r="E63">
            <v>2.71</v>
          </cell>
          <cell r="F63">
            <v>2.71</v>
          </cell>
          <cell r="G63" t="str">
            <v xml:space="preserve">Наконечник НШКИ 1,5-12</v>
          </cell>
          <cell r="H63">
            <v>2.71</v>
          </cell>
          <cell r="J63">
            <v>2.61</v>
          </cell>
          <cell r="L63">
            <v>2.61</v>
          </cell>
          <cell r="M63">
            <v>2.7143999999999999</v>
          </cell>
          <cell r="N63">
            <v>2.7143999999999999</v>
          </cell>
        </row>
        <row r="64">
          <cell r="B64">
            <v>3599000704</v>
          </cell>
          <cell r="C64" t="str">
            <v xml:space="preserve">Наконечник ТМЛ 16-8-6</v>
          </cell>
          <cell r="D64">
            <v>1</v>
          </cell>
          <cell r="E64">
            <v>13.71</v>
          </cell>
          <cell r="F64">
            <v>13.71</v>
          </cell>
          <cell r="G64" t="str">
            <v xml:space="preserve">Наконечник ТМЛ 16-8-6</v>
          </cell>
          <cell r="H64">
            <v>13.71</v>
          </cell>
          <cell r="J64">
            <v>12.56</v>
          </cell>
          <cell r="K64">
            <v>13.18</v>
          </cell>
          <cell r="L64">
            <v>12.56</v>
          </cell>
          <cell r="M64">
            <v>13.0624</v>
          </cell>
          <cell r="N64">
            <v>13.71</v>
          </cell>
        </row>
        <row r="65">
          <cell r="B65">
            <v>3599000711</v>
          </cell>
          <cell r="C65" t="str">
            <v xml:space="preserve">Наконечник НШП 2,5-12</v>
          </cell>
          <cell r="D65">
            <v>1</v>
          </cell>
          <cell r="E65">
            <v>3.59</v>
          </cell>
          <cell r="F65">
            <v>3.59</v>
          </cell>
          <cell r="G65" t="str">
            <v xml:space="preserve">Наконечник НШП 2,5-12</v>
          </cell>
          <cell r="H65">
            <v>3.59</v>
          </cell>
          <cell r="J65">
            <v>3.15</v>
          </cell>
          <cell r="L65">
            <v>3.15</v>
          </cell>
          <cell r="M65">
            <v>3.2759999999999998</v>
          </cell>
          <cell r="N65">
            <v>3.59</v>
          </cell>
        </row>
        <row r="66">
          <cell r="B66">
            <v>3599000712</v>
          </cell>
          <cell r="C66" t="str">
            <v xml:space="preserve">Наконечник НШП 1,5-12</v>
          </cell>
          <cell r="D66">
            <v>1</v>
          </cell>
          <cell r="E66">
            <v>2.36</v>
          </cell>
          <cell r="F66">
            <v>2.36</v>
          </cell>
          <cell r="G66" t="str">
            <v xml:space="preserve">Наконечник НШП 1,5-12</v>
          </cell>
          <cell r="H66">
            <v>2.36</v>
          </cell>
          <cell r="J66">
            <v>2.0699999999999998</v>
          </cell>
          <cell r="L66">
            <v>2.0699999999999998</v>
          </cell>
          <cell r="M66">
            <v>2.1528</v>
          </cell>
          <cell r="N66">
            <v>2.36</v>
          </cell>
        </row>
        <row r="67">
          <cell r="B67">
            <v>3599001000</v>
          </cell>
          <cell r="C67" t="str">
            <v xml:space="preserve">Наконечник ТМЛ 25-8-8</v>
          </cell>
          <cell r="D67">
            <v>1</v>
          </cell>
          <cell r="E67">
            <v>24.35</v>
          </cell>
          <cell r="F67">
            <v>24.35</v>
          </cell>
          <cell r="G67" t="str">
            <v xml:space="preserve">Наконечник ТМЛ 25-8-8</v>
          </cell>
          <cell r="H67">
            <v>24.35</v>
          </cell>
          <cell r="J67">
            <v>20.96</v>
          </cell>
          <cell r="K67">
            <v>22.01</v>
          </cell>
          <cell r="L67">
            <v>20.96</v>
          </cell>
          <cell r="M67">
            <v>21.798400000000001</v>
          </cell>
          <cell r="N67">
            <v>24.35</v>
          </cell>
        </row>
        <row r="68">
          <cell r="B68">
            <v>6692200036</v>
          </cell>
          <cell r="C68" t="str">
            <v xml:space="preserve">Наконечник НШВИ 2 2,5-10</v>
          </cell>
          <cell r="D68">
            <v>1</v>
          </cell>
          <cell r="E68">
            <v>1.24</v>
          </cell>
          <cell r="F68">
            <v>1.24</v>
          </cell>
          <cell r="G68" t="str">
            <v xml:space="preserve">Наконечник НШВИ 2 2,5-10</v>
          </cell>
          <cell r="H68">
            <v>1.24</v>
          </cell>
          <cell r="J68">
            <v>1.19</v>
          </cell>
          <cell r="L68">
            <v>1.19</v>
          </cell>
          <cell r="M68">
            <v>1.2376</v>
          </cell>
          <cell r="N68">
            <v>1.24</v>
          </cell>
        </row>
        <row r="69">
          <cell r="B69">
            <v>3449820013</v>
          </cell>
          <cell r="C69" t="str">
            <v xml:space="preserve">Наконечник ТМ 35-8-10</v>
          </cell>
          <cell r="D69">
            <v>1</v>
          </cell>
          <cell r="E69">
            <v>30.18</v>
          </cell>
          <cell r="F69">
            <v>30.18</v>
          </cell>
          <cell r="G69" t="str">
            <v xml:space="preserve">Наконечник ТМ 35-8-10</v>
          </cell>
          <cell r="H69">
            <v>30.18</v>
          </cell>
          <cell r="J69">
            <v>27.64</v>
          </cell>
          <cell r="K69">
            <v>29.02</v>
          </cell>
          <cell r="L69">
            <v>27.64</v>
          </cell>
          <cell r="M69">
            <v>28.745600000000003</v>
          </cell>
          <cell r="N69">
            <v>30.18</v>
          </cell>
        </row>
        <row r="70">
          <cell r="B70">
            <v>3449820073</v>
          </cell>
          <cell r="C70" t="str">
            <v xml:space="preserve">Наконечник НШПИ 16-13</v>
          </cell>
          <cell r="D70">
            <v>1</v>
          </cell>
          <cell r="E70">
            <v>23.45</v>
          </cell>
          <cell r="F70">
            <v>23.45</v>
          </cell>
          <cell r="G70" t="str">
            <v xml:space="preserve">Наконечник НШПИ 16-13</v>
          </cell>
          <cell r="H70">
            <v>23.45</v>
          </cell>
          <cell r="J70">
            <v>22.55</v>
          </cell>
          <cell r="L70">
            <v>22.55</v>
          </cell>
          <cell r="M70">
            <v>23.452000000000002</v>
          </cell>
          <cell r="N70">
            <v>23.452000000000002</v>
          </cell>
        </row>
        <row r="71">
          <cell r="B71">
            <v>3449950281</v>
          </cell>
          <cell r="C71" t="str">
            <v xml:space="preserve">Наконечник НКИ 2,5-4</v>
          </cell>
          <cell r="D71">
            <v>1</v>
          </cell>
          <cell r="E71">
            <v>2.23</v>
          </cell>
          <cell r="F71">
            <v>2.23</v>
          </cell>
          <cell r="G71" t="str">
            <v xml:space="preserve">Наконечник НКИ 2,5-4</v>
          </cell>
          <cell r="H71">
            <v>2.23</v>
          </cell>
          <cell r="J71">
            <v>1.66</v>
          </cell>
          <cell r="K71">
            <v>2.15</v>
          </cell>
          <cell r="L71">
            <v>1.66</v>
          </cell>
          <cell r="M71">
            <v>1.7263999999999999</v>
          </cell>
          <cell r="N71">
            <v>2.23</v>
          </cell>
        </row>
        <row r="72">
          <cell r="B72">
            <v>3599000059</v>
          </cell>
          <cell r="C72" t="str">
            <v xml:space="preserve">Наконечник ТМ 10-6-5</v>
          </cell>
          <cell r="D72">
            <v>1</v>
          </cell>
          <cell r="E72">
            <v>13.42</v>
          </cell>
          <cell r="F72">
            <v>13.42</v>
          </cell>
          <cell r="G72" t="str">
            <v xml:space="preserve">Наконечник ТМ 10-6-5</v>
          </cell>
          <cell r="H72">
            <v>13.42</v>
          </cell>
          <cell r="J72">
            <v>16.41</v>
          </cell>
          <cell r="K72">
            <v>14.66</v>
          </cell>
          <cell r="L72">
            <v>14.66</v>
          </cell>
          <cell r="M72">
            <v>15.246400000000001</v>
          </cell>
          <cell r="N72">
            <v>15.246400000000001</v>
          </cell>
        </row>
        <row r="73">
          <cell r="B73">
            <v>3449820039</v>
          </cell>
          <cell r="C73" t="str">
            <v xml:space="preserve">Наконечник ТМ 6-5-4</v>
          </cell>
          <cell r="D73">
            <v>1</v>
          </cell>
          <cell r="E73">
            <v>10.18</v>
          </cell>
          <cell r="F73">
            <v>10.18</v>
          </cell>
          <cell r="G73" t="str">
            <v xml:space="preserve">Наконечник ТМ 6-5-4</v>
          </cell>
          <cell r="H73">
            <v>10.18</v>
          </cell>
          <cell r="J73">
            <v>9.34</v>
          </cell>
          <cell r="K73">
            <v>9.7899999999999991</v>
          </cell>
          <cell r="L73">
            <v>9.34</v>
          </cell>
          <cell r="M73">
            <v>9.7135999999999996</v>
          </cell>
          <cell r="N73">
            <v>10.18</v>
          </cell>
        </row>
        <row r="74">
          <cell r="B74">
            <v>3449830002</v>
          </cell>
          <cell r="C74" t="str">
            <v xml:space="preserve">Наконечник 2НБ-150/240</v>
          </cell>
          <cell r="D74">
            <v>1</v>
          </cell>
          <cell r="E74">
            <v>335.08</v>
          </cell>
          <cell r="F74">
            <v>335.08</v>
          </cell>
          <cell r="G74" t="str">
            <v xml:space="preserve">Наконечник 2НБ-150/240</v>
          </cell>
          <cell r="H74">
            <v>335.08</v>
          </cell>
          <cell r="J74">
            <v>321.27</v>
          </cell>
          <cell r="L74">
            <v>321.27</v>
          </cell>
          <cell r="M74">
            <v>334.12079999999997</v>
          </cell>
          <cell r="N74">
            <v>335.08</v>
          </cell>
        </row>
        <row r="75">
          <cell r="B75">
            <v>3449840002</v>
          </cell>
          <cell r="C75" t="str">
            <v xml:space="preserve">Наконечник 2НБ-25/50</v>
          </cell>
          <cell r="D75">
            <v>1</v>
          </cell>
          <cell r="E75">
            <v>225.68</v>
          </cell>
          <cell r="F75">
            <v>225.68</v>
          </cell>
          <cell r="G75" t="str">
            <v xml:space="preserve">Наконечник 2НБ-25/50</v>
          </cell>
          <cell r="H75">
            <v>225.68</v>
          </cell>
          <cell r="J75">
            <v>217</v>
          </cell>
          <cell r="L75">
            <v>217</v>
          </cell>
          <cell r="M75">
            <v>225.68</v>
          </cell>
          <cell r="N75">
            <v>225.68</v>
          </cell>
        </row>
        <row r="76">
          <cell r="B76">
            <v>3449840003</v>
          </cell>
          <cell r="C76" t="str">
            <v xml:space="preserve">Наконечник 2НБ-70/120</v>
          </cell>
          <cell r="D76">
            <v>1</v>
          </cell>
          <cell r="E76">
            <v>182.54</v>
          </cell>
          <cell r="F76">
            <v>182.54</v>
          </cell>
          <cell r="G76" t="str">
            <v xml:space="preserve">Наконечник 2НБ-70/120</v>
          </cell>
          <cell r="H76">
            <v>182.54</v>
          </cell>
          <cell r="J76">
            <v>171.51</v>
          </cell>
          <cell r="K76">
            <v>171.51</v>
          </cell>
          <cell r="L76">
            <v>171.51</v>
          </cell>
          <cell r="M76">
            <v>178.37039999999999</v>
          </cell>
          <cell r="N76">
            <v>182.54</v>
          </cell>
        </row>
        <row r="77">
          <cell r="B77">
            <v>3599000762</v>
          </cell>
          <cell r="C77" t="str">
            <v xml:space="preserve">Наконечник НКИ 6-6</v>
          </cell>
          <cell r="D77">
            <v>1</v>
          </cell>
          <cell r="E77">
            <v>5.57</v>
          </cell>
          <cell r="F77">
            <v>5.57</v>
          </cell>
          <cell r="G77" t="str">
            <v xml:space="preserve">Наконечник НКИ 6-6</v>
          </cell>
          <cell r="H77">
            <v>5.57</v>
          </cell>
          <cell r="J77">
            <v>4.55</v>
          </cell>
          <cell r="K77">
            <v>4.55</v>
          </cell>
          <cell r="L77">
            <v>4.55</v>
          </cell>
          <cell r="M77">
            <v>4.7320000000000002</v>
          </cell>
          <cell r="N77">
            <v>5.57</v>
          </cell>
        </row>
        <row r="78">
          <cell r="B78">
            <v>3599000927</v>
          </cell>
          <cell r="C78" t="str">
            <v xml:space="preserve">Наконечник ТМЛ 35-8-10</v>
          </cell>
          <cell r="D78">
            <v>1</v>
          </cell>
          <cell r="E78">
            <v>30.18</v>
          </cell>
          <cell r="F78">
            <v>30.18</v>
          </cell>
          <cell r="G78" t="str">
            <v xml:space="preserve">Наконечник ТМЛ 35-8-10</v>
          </cell>
          <cell r="H78">
            <v>30.18</v>
          </cell>
          <cell r="J78">
            <v>28.94</v>
          </cell>
          <cell r="L78">
            <v>28.94</v>
          </cell>
          <cell r="M78">
            <v>30.097600000000003</v>
          </cell>
          <cell r="N78">
            <v>30.18</v>
          </cell>
        </row>
        <row r="79">
          <cell r="B79">
            <v>3599000999</v>
          </cell>
          <cell r="C79" t="str">
            <v xml:space="preserve">Наконечник ТМЛ 240-16-24</v>
          </cell>
          <cell r="D79">
            <v>1</v>
          </cell>
          <cell r="E79">
            <v>520.87</v>
          </cell>
          <cell r="F79">
            <v>520.87</v>
          </cell>
          <cell r="G79" t="str">
            <v xml:space="preserve">Наконечник ТМЛ 240-16-24</v>
          </cell>
          <cell r="H79">
            <v>520.87</v>
          </cell>
          <cell r="J79">
            <v>482.13</v>
          </cell>
          <cell r="K79">
            <v>482.13</v>
          </cell>
          <cell r="L79">
            <v>482.13</v>
          </cell>
          <cell r="M79">
            <v>501.41520000000003</v>
          </cell>
          <cell r="N79">
            <v>520.87</v>
          </cell>
        </row>
        <row r="80">
          <cell r="B80">
            <v>3449820014</v>
          </cell>
          <cell r="C80" t="str">
            <v xml:space="preserve">Наконечник НШВИ 0,75-8</v>
          </cell>
          <cell r="D80">
            <v>1</v>
          </cell>
          <cell r="E80">
            <v>0.45</v>
          </cell>
          <cell r="F80">
            <v>0.45</v>
          </cell>
          <cell r="G80" t="str">
            <v xml:space="preserve">Наконечник НШВИ 0,75-8</v>
          </cell>
          <cell r="H80">
            <v>0.45</v>
          </cell>
          <cell r="J80">
            <v>0.4</v>
          </cell>
          <cell r="K80">
            <v>0.46</v>
          </cell>
          <cell r="L80">
            <v>0.4</v>
          </cell>
          <cell r="M80">
            <v>0.41600000000000004</v>
          </cell>
          <cell r="N80">
            <v>0.45</v>
          </cell>
        </row>
        <row r="81">
          <cell r="B81">
            <v>3449860013</v>
          </cell>
          <cell r="C81" t="str">
            <v xml:space="preserve">Наконечник НШВИ 1-8</v>
          </cell>
          <cell r="D81">
            <v>1</v>
          </cell>
          <cell r="E81">
            <v>1.46</v>
          </cell>
          <cell r="F81">
            <v>1.46</v>
          </cell>
          <cell r="G81" t="str">
            <v xml:space="preserve">Наконечник НШВИ 1-8</v>
          </cell>
          <cell r="H81">
            <v>1.46</v>
          </cell>
          <cell r="J81">
            <v>1.38</v>
          </cell>
          <cell r="K81">
            <v>0.38</v>
          </cell>
          <cell r="L81">
            <v>0.38</v>
          </cell>
          <cell r="M81">
            <v>0.3952</v>
          </cell>
          <cell r="N81">
            <v>1.46</v>
          </cell>
        </row>
        <row r="82">
          <cell r="B82">
            <v>3599000066</v>
          </cell>
          <cell r="C82" t="str">
            <v xml:space="preserve">Наконечник ТМ 50-12-11</v>
          </cell>
          <cell r="D82">
            <v>1</v>
          </cell>
          <cell r="E82">
            <v>46.2</v>
          </cell>
          <cell r="F82">
            <v>46.2</v>
          </cell>
          <cell r="G82" t="str">
            <v xml:space="preserve">Наконечник ТМ 50-12-11</v>
          </cell>
          <cell r="H82">
            <v>46.2</v>
          </cell>
          <cell r="J82">
            <v>38.22</v>
          </cell>
          <cell r="L82">
            <v>38.22</v>
          </cell>
          <cell r="M82">
            <v>39.748800000000003</v>
          </cell>
          <cell r="N82">
            <v>46.2</v>
          </cell>
        </row>
        <row r="83">
          <cell r="B83">
            <v>3599000708</v>
          </cell>
          <cell r="C83" t="str">
            <v xml:space="preserve">Наконечник ТМЛ 10-8-6</v>
          </cell>
          <cell r="D83">
            <v>1</v>
          </cell>
          <cell r="E83">
            <v>13.39</v>
          </cell>
          <cell r="F83">
            <v>13.39</v>
          </cell>
          <cell r="G83" t="str">
            <v xml:space="preserve">Наконечник ТМЛ 10-8-6</v>
          </cell>
          <cell r="H83">
            <v>13.39</v>
          </cell>
          <cell r="J83">
            <v>12.06</v>
          </cell>
          <cell r="L83">
            <v>12.06</v>
          </cell>
          <cell r="M83">
            <v>12.542400000000001</v>
          </cell>
          <cell r="N83">
            <v>13.39</v>
          </cell>
        </row>
        <row r="84">
          <cell r="B84">
            <v>3449820061</v>
          </cell>
          <cell r="C84" t="str">
            <v xml:space="preserve">Наконечник ТМЛ 35-10-10</v>
          </cell>
          <cell r="D84">
            <v>1</v>
          </cell>
          <cell r="E84">
            <v>58.51</v>
          </cell>
          <cell r="F84">
            <v>58.51</v>
          </cell>
          <cell r="G84" t="str">
            <v xml:space="preserve">Наконечник ТМЛ 35-10-10</v>
          </cell>
          <cell r="H84">
            <v>58.51</v>
          </cell>
          <cell r="J84">
            <v>53.42</v>
          </cell>
          <cell r="K84">
            <v>47.93</v>
          </cell>
          <cell r="L84">
            <v>47.93</v>
          </cell>
          <cell r="M84">
            <v>49.847200000000001</v>
          </cell>
          <cell r="N84">
            <v>58.51</v>
          </cell>
        </row>
        <row r="85">
          <cell r="B85">
            <v>3449820068</v>
          </cell>
          <cell r="C85" t="str">
            <v xml:space="preserve">Наконечник ТМЛ 6-5-4</v>
          </cell>
          <cell r="D85">
            <v>1</v>
          </cell>
          <cell r="E85">
            <v>7.07</v>
          </cell>
          <cell r="F85">
            <v>7.07</v>
          </cell>
          <cell r="G85" t="str">
            <v xml:space="preserve">Наконечник ТМЛ 6-5-4</v>
          </cell>
          <cell r="H85">
            <v>7.07</v>
          </cell>
          <cell r="J85">
            <v>6.55</v>
          </cell>
          <cell r="L85">
            <v>6.55</v>
          </cell>
          <cell r="M85">
            <v>6.8120000000000003</v>
          </cell>
          <cell r="N85">
            <v>7.07</v>
          </cell>
        </row>
        <row r="86">
          <cell r="B86">
            <v>3449820075</v>
          </cell>
          <cell r="C86" t="str">
            <v xml:space="preserve">Наконечник НШВИ 16-12</v>
          </cell>
          <cell r="D86">
            <v>1</v>
          </cell>
          <cell r="E86">
            <v>2.5</v>
          </cell>
          <cell r="F86">
            <v>2.5</v>
          </cell>
          <cell r="G86" t="str">
            <v xml:space="preserve">Наконечник НШВИ 16-12</v>
          </cell>
          <cell r="H86">
            <v>2.5</v>
          </cell>
          <cell r="J86">
            <v>2.4</v>
          </cell>
          <cell r="L86">
            <v>2.4</v>
          </cell>
          <cell r="M86">
            <v>2.496</v>
          </cell>
          <cell r="N86">
            <v>2.5</v>
          </cell>
        </row>
        <row r="87">
          <cell r="B87">
            <v>3449820081</v>
          </cell>
          <cell r="C87" t="str">
            <v xml:space="preserve">Наконечник НШВИ 4-9</v>
          </cell>
          <cell r="D87">
            <v>1</v>
          </cell>
          <cell r="E87">
            <v>1.59</v>
          </cell>
          <cell r="F87">
            <v>1.59</v>
          </cell>
          <cell r="G87" t="str">
            <v xml:space="preserve">Наконечник НШВИ 4-9</v>
          </cell>
          <cell r="H87">
            <v>1.59</v>
          </cell>
          <cell r="J87">
            <v>1.53</v>
          </cell>
          <cell r="L87">
            <v>1.53</v>
          </cell>
          <cell r="M87">
            <v>1.5912000000000002</v>
          </cell>
          <cell r="N87">
            <v>1.5912000000000002</v>
          </cell>
        </row>
        <row r="88">
          <cell r="B88">
            <v>3449820085</v>
          </cell>
          <cell r="C88" t="str">
            <v xml:space="preserve">Наконечник НШВ 4-12</v>
          </cell>
          <cell r="D88">
            <v>1</v>
          </cell>
          <cell r="E88">
            <v>2.6</v>
          </cell>
          <cell r="F88">
            <v>2.6</v>
          </cell>
          <cell r="G88" t="str">
            <v xml:space="preserve">Наконечник НШВ 4-12</v>
          </cell>
          <cell r="H88">
            <v>2.6</v>
          </cell>
          <cell r="J88">
            <v>2.5</v>
          </cell>
          <cell r="L88">
            <v>2.5</v>
          </cell>
          <cell r="M88">
            <v>2.6</v>
          </cell>
          <cell r="N88">
            <v>2.6</v>
          </cell>
        </row>
        <row r="89">
          <cell r="B89">
            <v>3449850011</v>
          </cell>
          <cell r="C89" t="str">
            <v xml:space="preserve">Наконечник ТАМ 25-8-7</v>
          </cell>
          <cell r="D89">
            <v>1</v>
          </cell>
          <cell r="E89">
            <v>17.239999999999998</v>
          </cell>
          <cell r="F89">
            <v>17.239999999999998</v>
          </cell>
          <cell r="G89" t="str">
            <v xml:space="preserve">Наконечник ТАМ 25-8-7</v>
          </cell>
          <cell r="H89">
            <v>17.239999999999998</v>
          </cell>
          <cell r="J89">
            <v>15.79</v>
          </cell>
          <cell r="K89">
            <v>16.579999999999998</v>
          </cell>
          <cell r="L89">
            <v>15.79</v>
          </cell>
          <cell r="M89">
            <v>16.421599999999998</v>
          </cell>
          <cell r="N89">
            <v>17.239999999999998</v>
          </cell>
        </row>
        <row r="90">
          <cell r="B90">
            <v>3449860009</v>
          </cell>
          <cell r="C90" t="str">
            <v xml:space="preserve">Наконечник НШВИ 2,5-8</v>
          </cell>
          <cell r="D90">
            <v>1</v>
          </cell>
          <cell r="E90">
            <v>0.82</v>
          </cell>
          <cell r="F90">
            <v>0.82</v>
          </cell>
          <cell r="G90" t="str">
            <v xml:space="preserve">Наконечник НШВИ 2,5-8</v>
          </cell>
          <cell r="H90">
            <v>0.82</v>
          </cell>
          <cell r="J90">
            <v>1.18</v>
          </cell>
          <cell r="K90">
            <v>0.79</v>
          </cell>
          <cell r="L90">
            <v>0.79</v>
          </cell>
          <cell r="M90">
            <v>0.82160000000000011</v>
          </cell>
          <cell r="N90">
            <v>0.82160000000000011</v>
          </cell>
        </row>
        <row r="91">
          <cell r="B91">
            <v>3449860010</v>
          </cell>
          <cell r="C91" t="str">
            <v xml:space="preserve">Наконечник НШВИ 1,5-8</v>
          </cell>
          <cell r="D91">
            <v>1</v>
          </cell>
          <cell r="E91">
            <v>0.93</v>
          </cell>
          <cell r="F91">
            <v>0.93</v>
          </cell>
          <cell r="G91" t="str">
            <v xml:space="preserve">Наконечник НШВИ 1,5-8</v>
          </cell>
          <cell r="H91">
            <v>0.93</v>
          </cell>
          <cell r="J91">
            <v>0.89</v>
          </cell>
          <cell r="K91">
            <v>0.89</v>
          </cell>
          <cell r="L91">
            <v>0.89</v>
          </cell>
          <cell r="M91">
            <v>0.92560000000000009</v>
          </cell>
          <cell r="N91">
            <v>0.93</v>
          </cell>
        </row>
        <row r="92">
          <cell r="B92">
            <v>3449870027</v>
          </cell>
          <cell r="C92" t="str">
            <v xml:space="preserve">Гильза ГА 185-19</v>
          </cell>
          <cell r="D92">
            <v>1</v>
          </cell>
          <cell r="E92">
            <v>45.56</v>
          </cell>
          <cell r="F92">
            <v>45.56</v>
          </cell>
          <cell r="G92" t="str">
            <v xml:space="preserve">Гильза ГА 185-19</v>
          </cell>
          <cell r="H92">
            <v>45.56</v>
          </cell>
          <cell r="J92">
            <v>44.07</v>
          </cell>
          <cell r="K92">
            <v>41.26</v>
          </cell>
          <cell r="L92">
            <v>41.26</v>
          </cell>
          <cell r="M92">
            <v>42.910400000000003</v>
          </cell>
          <cell r="N92">
            <v>45.56</v>
          </cell>
        </row>
        <row r="93">
          <cell r="B93">
            <v>3599000067</v>
          </cell>
          <cell r="C93" t="str">
            <v xml:space="preserve">Наконечник ТМ 70-12-13</v>
          </cell>
          <cell r="D93">
            <v>1</v>
          </cell>
          <cell r="E93">
            <v>46.57</v>
          </cell>
          <cell r="F93">
            <v>46.57</v>
          </cell>
          <cell r="G93" t="str">
            <v xml:space="preserve">Наконечник ТМ 70-12-13</v>
          </cell>
          <cell r="H93">
            <v>46.57</v>
          </cell>
          <cell r="J93">
            <v>55.3</v>
          </cell>
          <cell r="K93">
            <v>50.87</v>
          </cell>
          <cell r="L93">
            <v>50.87</v>
          </cell>
          <cell r="M93">
            <v>52.904800000000002</v>
          </cell>
          <cell r="N93">
            <v>52.904800000000002</v>
          </cell>
        </row>
        <row r="94">
          <cell r="B94">
            <v>3599000155</v>
          </cell>
          <cell r="C94" t="str">
            <v xml:space="preserve">Наконечник ТМЛ 2,5-5-2,6</v>
          </cell>
          <cell r="D94">
            <v>1</v>
          </cell>
          <cell r="E94">
            <v>4.6399999999999997</v>
          </cell>
          <cell r="F94">
            <v>4.6399999999999997</v>
          </cell>
          <cell r="G94" t="str">
            <v xml:space="preserve">Наконечник ТМЛ 2,5-5-2,6</v>
          </cell>
          <cell r="H94">
            <v>4.6399999999999997</v>
          </cell>
          <cell r="J94">
            <v>4.46</v>
          </cell>
          <cell r="L94">
            <v>4.46</v>
          </cell>
          <cell r="M94">
            <v>4.6383999999999999</v>
          </cell>
          <cell r="N94">
            <v>4.6399999999999997</v>
          </cell>
        </row>
        <row r="95">
          <cell r="B95">
            <v>3599000156</v>
          </cell>
          <cell r="C95" t="str">
            <v xml:space="preserve">Наконечник ТМЛ 4-5-3</v>
          </cell>
          <cell r="D95">
            <v>1</v>
          </cell>
          <cell r="E95">
            <v>8.07</v>
          </cell>
          <cell r="F95">
            <v>8.07</v>
          </cell>
          <cell r="G95" t="str">
            <v xml:space="preserve">Наконечник ТМЛ 4-5-3</v>
          </cell>
          <cell r="H95">
            <v>8.07</v>
          </cell>
          <cell r="J95">
            <v>7.76</v>
          </cell>
          <cell r="K95">
            <v>8.14</v>
          </cell>
          <cell r="L95">
            <v>7.76</v>
          </cell>
          <cell r="M95">
            <v>8.0703999999999994</v>
          </cell>
          <cell r="N95">
            <v>8.0703999999999994</v>
          </cell>
        </row>
        <row r="96">
          <cell r="B96">
            <v>3599000709</v>
          </cell>
          <cell r="C96" t="str">
            <v xml:space="preserve">Наконечник ТМЛ 4-6-3</v>
          </cell>
          <cell r="D96">
            <v>1</v>
          </cell>
          <cell r="E96">
            <v>5.6</v>
          </cell>
          <cell r="F96">
            <v>5.6</v>
          </cell>
          <cell r="G96" t="str">
            <v xml:space="preserve">Наконечник ТМЛ 4-6-3</v>
          </cell>
          <cell r="H96">
            <v>5.6</v>
          </cell>
          <cell r="J96">
            <v>5.14</v>
          </cell>
          <cell r="L96">
            <v>5.14</v>
          </cell>
          <cell r="M96">
            <v>5.3456000000000001</v>
          </cell>
          <cell r="N96">
            <v>5.6</v>
          </cell>
        </row>
        <row r="97">
          <cell r="B97">
            <v>3599000810</v>
          </cell>
          <cell r="C97" t="str">
            <v xml:space="preserve">Наконечник ТМЛ 10-8-5</v>
          </cell>
          <cell r="D97">
            <v>1</v>
          </cell>
          <cell r="E97">
            <v>12.63</v>
          </cell>
          <cell r="F97">
            <v>12.63</v>
          </cell>
          <cell r="G97" t="str">
            <v xml:space="preserve">Наконечник ТМЛ 10-8-5</v>
          </cell>
          <cell r="H97">
            <v>12.63</v>
          </cell>
          <cell r="J97">
            <v>12.14</v>
          </cell>
          <cell r="K97">
            <v>12.14</v>
          </cell>
          <cell r="L97">
            <v>12.14</v>
          </cell>
          <cell r="M97">
            <v>12.6256</v>
          </cell>
          <cell r="N97">
            <v>12.63</v>
          </cell>
        </row>
        <row r="98">
          <cell r="B98">
            <v>3599001031</v>
          </cell>
          <cell r="C98" t="str">
            <v xml:space="preserve">Наконечник ТАМ-35-10-8</v>
          </cell>
          <cell r="D98">
            <v>1</v>
          </cell>
          <cell r="E98">
            <v>37.54</v>
          </cell>
          <cell r="F98">
            <v>37.54</v>
          </cell>
          <cell r="G98" t="str">
            <v xml:space="preserve">Наконечник ТАМ-35-10-8</v>
          </cell>
          <cell r="H98">
            <v>37.54</v>
          </cell>
          <cell r="J98">
            <v>34.380000000000003</v>
          </cell>
          <cell r="K98">
            <v>36.1</v>
          </cell>
          <cell r="L98">
            <v>34.380000000000003</v>
          </cell>
          <cell r="M98">
            <v>35.755200000000002</v>
          </cell>
          <cell r="N98">
            <v>37.54</v>
          </cell>
        </row>
        <row r="99">
          <cell r="B99">
            <v>3449850016</v>
          </cell>
          <cell r="C99" t="str">
            <v xml:space="preserve">Наконечник ТАМ 16-8-5,4</v>
          </cell>
          <cell r="D99">
            <v>1</v>
          </cell>
          <cell r="E99">
            <v>13.11</v>
          </cell>
          <cell r="F99">
            <v>13.11</v>
          </cell>
          <cell r="G99" t="str">
            <v xml:space="preserve">Наконечник ТАМ 16-8-5,4</v>
          </cell>
          <cell r="H99">
            <v>13.11</v>
          </cell>
          <cell r="J99">
            <v>21.87</v>
          </cell>
          <cell r="K99">
            <v>17.239999999999998</v>
          </cell>
          <cell r="L99">
            <v>17.239999999999998</v>
          </cell>
          <cell r="M99">
            <v>17.929600000000001</v>
          </cell>
          <cell r="N99">
            <v>17.929600000000001</v>
          </cell>
        </row>
        <row r="100">
          <cell r="B100">
            <v>3533000059</v>
          </cell>
          <cell r="C100" t="str">
            <v xml:space="preserve">Наконечник ТА 185-16-18</v>
          </cell>
          <cell r="D100">
            <v>1</v>
          </cell>
          <cell r="E100">
            <v>53.75</v>
          </cell>
          <cell r="F100">
            <v>53.75</v>
          </cell>
          <cell r="G100" t="str">
            <v xml:space="preserve">Наконечник ТА 185-16-18</v>
          </cell>
          <cell r="H100">
            <v>53.75</v>
          </cell>
          <cell r="J100">
            <v>26.76</v>
          </cell>
          <cell r="L100">
            <v>26.76</v>
          </cell>
          <cell r="M100">
            <v>27.830400000000001</v>
          </cell>
          <cell r="N100">
            <v>53.75</v>
          </cell>
        </row>
        <row r="101">
          <cell r="B101">
            <v>3599000253</v>
          </cell>
          <cell r="C101" t="str">
            <v xml:space="preserve">Наконечник ТА 240-20-22</v>
          </cell>
          <cell r="D101">
            <v>1</v>
          </cell>
          <cell r="E101">
            <v>100.88</v>
          </cell>
          <cell r="F101">
            <v>100.88</v>
          </cell>
          <cell r="G101" t="str">
            <v xml:space="preserve">Наконечник ТА 240-20-22</v>
          </cell>
          <cell r="H101">
            <v>100.88</v>
          </cell>
          <cell r="J101">
            <v>54.25</v>
          </cell>
          <cell r="K101">
            <v>54.25</v>
          </cell>
          <cell r="L101">
            <v>54.25</v>
          </cell>
          <cell r="M101">
            <v>56.42</v>
          </cell>
          <cell r="N101">
            <v>100.88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 t="e">
            <v>#N/A</v>
          </cell>
          <cell r="H102" t="e">
            <v>#N/A</v>
          </cell>
          <cell r="J102" t="e">
            <v>#N/A</v>
          </cell>
          <cell r="K102" t="e">
            <v>#N/A</v>
          </cell>
          <cell r="L102" t="e">
            <v>#N/A</v>
          </cell>
          <cell r="M102" t="e">
            <v>#N/A</v>
          </cell>
          <cell r="N102" t="e">
            <v>#N/A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 t="e">
            <v>#N/A</v>
          </cell>
          <cell r="H103" t="e">
            <v>#N/A</v>
          </cell>
          <cell r="J103" t="e">
            <v>#N/A</v>
          </cell>
          <cell r="K103" t="e">
            <v>#N/A</v>
          </cell>
          <cell r="L103" t="e">
            <v>#N/A</v>
          </cell>
          <cell r="M103" t="e">
            <v>#N/A</v>
          </cell>
          <cell r="N103" t="e">
            <v>#N/A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 t="e">
            <v>#N/A</v>
          </cell>
          <cell r="H104" t="e">
            <v>#N/A</v>
          </cell>
          <cell r="J104" t="e">
            <v>#N/A</v>
          </cell>
          <cell r="K104" t="e">
            <v>#N/A</v>
          </cell>
          <cell r="L104" t="e">
            <v>#N/A</v>
          </cell>
          <cell r="M104" t="e">
            <v>#N/A</v>
          </cell>
          <cell r="N104" t="e">
            <v>#N/A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 t="e">
            <v>#N/A</v>
          </cell>
          <cell r="H105" t="e">
            <v>#N/A</v>
          </cell>
          <cell r="J105" t="e">
            <v>#N/A</v>
          </cell>
          <cell r="K105" t="e">
            <v>#N/A</v>
          </cell>
          <cell r="L105" t="e">
            <v>#N/A</v>
          </cell>
          <cell r="M105" t="e">
            <v>#N/A</v>
          </cell>
          <cell r="N105" t="e">
            <v>#N/A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 t="e">
            <v>#N/A</v>
          </cell>
          <cell r="H106" t="e">
            <v>#N/A</v>
          </cell>
          <cell r="J106" t="e">
            <v>#N/A</v>
          </cell>
          <cell r="K106" t="e">
            <v>#N/A</v>
          </cell>
          <cell r="L106" t="e">
            <v>#N/A</v>
          </cell>
          <cell r="M106" t="e">
            <v>#N/A</v>
          </cell>
          <cell r="N106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7" zoomScale="100" workbookViewId="0">
      <selection activeCell="A10" activeCellId="0" sqref="A10:F10"/>
    </sheetView>
  </sheetViews>
  <sheetFormatPr defaultRowHeight="14.25"/>
  <cols>
    <col customWidth="1" min="1" max="1" width="4.42578125"/>
    <col customWidth="1" min="2" max="2" width="12.140625"/>
    <col customWidth="1" min="3" max="3" style="1" width="33.5703125"/>
    <col customWidth="1" min="4" max="4" style="1" width="12.7109375"/>
    <col customWidth="1" min="5" max="5" style="1" width="18.7109375"/>
    <col customWidth="1" min="6" max="6" style="1" width="21.57421875"/>
    <col customWidth="1" min="7" max="7" width="6.28515625"/>
    <col customWidth="1" min="8" max="8" style="1" width="6.28515625"/>
    <col customWidth="1" min="9" max="9" width="11.140625"/>
    <col bestFit="1" customWidth="1" min="10" max="10" width="13.140625"/>
    <col customWidth="1" hidden="1" min="12" max="15" width="0"/>
  </cols>
  <sheetData>
    <row r="1" ht="15.75">
      <c r="J1" s="2"/>
    </row>
    <row r="2" ht="15">
      <c r="J2" s="3" t="s">
        <v>0</v>
      </c>
    </row>
    <row r="3" ht="15">
      <c r="J3" s="3" t="s">
        <v>1</v>
      </c>
    </row>
    <row r="4">
      <c r="A4" s="4"/>
    </row>
    <row r="5" ht="17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</row>
    <row r="6" ht="15.75">
      <c r="A6" s="4"/>
    </row>
    <row r="7" ht="99" customHeight="1">
      <c r="A7" s="6" t="s">
        <v>3</v>
      </c>
      <c r="B7" s="6" t="s">
        <v>4</v>
      </c>
      <c r="C7" s="6" t="s">
        <v>5</v>
      </c>
      <c r="D7" s="7" t="s">
        <v>6</v>
      </c>
      <c r="E7" s="7" t="s">
        <v>7</v>
      </c>
      <c r="F7" s="7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ht="15.75" customHeight="1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</row>
    <row r="9" ht="15.75" customHeight="1">
      <c r="A9" s="6">
        <v>1</v>
      </c>
      <c r="B9" s="6">
        <v>5610020017</v>
      </c>
      <c r="C9" s="8" t="s">
        <v>13</v>
      </c>
      <c r="D9" s="6" t="s">
        <v>14</v>
      </c>
      <c r="E9" s="9" t="s">
        <v>15</v>
      </c>
      <c r="F9" s="6"/>
      <c r="G9" s="10" t="s">
        <v>16</v>
      </c>
      <c r="H9" s="6">
        <v>1</v>
      </c>
      <c r="I9" s="6">
        <v>32482.860000000001</v>
      </c>
      <c r="J9" s="11">
        <f>H9*I9</f>
        <v>32482.860000000001</v>
      </c>
    </row>
    <row r="10" ht="30" customHeight="1">
      <c r="A10" s="6">
        <v>2</v>
      </c>
      <c r="B10" s="12">
        <v>5612210152</v>
      </c>
      <c r="C10" s="12" t="s">
        <v>17</v>
      </c>
      <c r="D10" s="6" t="s">
        <v>18</v>
      </c>
      <c r="E10" s="8" t="s">
        <v>15</v>
      </c>
      <c r="F10" s="12"/>
      <c r="G10" s="6" t="s">
        <v>16</v>
      </c>
      <c r="H10" s="6">
        <v>37</v>
      </c>
      <c r="I10" s="11">
        <v>7248.8500000000004</v>
      </c>
      <c r="J10" s="11">
        <f t="shared" ref="J10:J17" si="0">H10*I10</f>
        <v>268207.45000000001</v>
      </c>
      <c r="L10" s="13">
        <v>225.68000000000001</v>
      </c>
      <c r="M10" t="e">
        <f>VLOOKUP(B10,'[1]анализ цены'!B$18:N$106,12,0)</f>
        <v>#N/A</v>
      </c>
      <c r="N10" s="14" t="e">
        <f>I10-M10</f>
        <v>#N/A</v>
      </c>
    </row>
    <row r="11" ht="30" customHeight="1">
      <c r="A11" s="6">
        <v>3</v>
      </c>
      <c r="B11" s="12">
        <v>5611210029</v>
      </c>
      <c r="C11" s="12" t="s">
        <v>19</v>
      </c>
      <c r="D11" s="6" t="s">
        <v>20</v>
      </c>
      <c r="E11" s="8" t="s">
        <v>15</v>
      </c>
      <c r="F11" s="12"/>
      <c r="G11" s="6" t="s">
        <v>16</v>
      </c>
      <c r="H11" s="6">
        <v>43</v>
      </c>
      <c r="I11" s="11">
        <v>4683.71</v>
      </c>
      <c r="J11" s="11">
        <f t="shared" si="0"/>
        <v>201399.53</v>
      </c>
      <c r="L11" s="15"/>
      <c r="M11" s="1"/>
      <c r="N11" s="14"/>
    </row>
    <row r="12" ht="30" customHeight="1">
      <c r="A12" s="6">
        <v>4</v>
      </c>
      <c r="B12" s="12">
        <v>1000018038</v>
      </c>
      <c r="C12" s="16" t="s">
        <v>21</v>
      </c>
      <c r="D12" s="10" t="s">
        <v>22</v>
      </c>
      <c r="E12" s="8" t="s">
        <v>15</v>
      </c>
      <c r="F12" s="12"/>
      <c r="G12" s="10" t="s">
        <v>16</v>
      </c>
      <c r="H12" s="6">
        <v>1</v>
      </c>
      <c r="I12" s="11">
        <v>5856.1300000000001</v>
      </c>
      <c r="J12" s="11">
        <f t="shared" si="0"/>
        <v>5856.1300000000001</v>
      </c>
      <c r="L12" s="15"/>
      <c r="M12" s="1"/>
      <c r="N12" s="14"/>
    </row>
    <row r="13" ht="28.5">
      <c r="A13" s="6">
        <v>5</v>
      </c>
      <c r="B13" s="12">
        <v>5612210154</v>
      </c>
      <c r="C13" s="12" t="s">
        <v>23</v>
      </c>
      <c r="D13" s="6" t="s">
        <v>18</v>
      </c>
      <c r="E13" s="8" t="s">
        <v>15</v>
      </c>
      <c r="F13" s="12"/>
      <c r="G13" s="6" t="s">
        <v>16</v>
      </c>
      <c r="H13" s="6">
        <v>77</v>
      </c>
      <c r="I13" s="11">
        <v>2607.5</v>
      </c>
      <c r="J13" s="11">
        <f t="shared" si="0"/>
        <v>200777.5</v>
      </c>
      <c r="L13" s="15"/>
      <c r="N13" s="14"/>
    </row>
    <row r="14" ht="15">
      <c r="A14" s="6">
        <v>6</v>
      </c>
      <c r="B14" s="12">
        <v>5627510149</v>
      </c>
      <c r="C14" s="12" t="s">
        <v>24</v>
      </c>
      <c r="D14" s="6" t="s">
        <v>25</v>
      </c>
      <c r="E14" s="8" t="s">
        <v>15</v>
      </c>
      <c r="F14" s="12"/>
      <c r="G14" s="6" t="s">
        <v>16</v>
      </c>
      <c r="H14" s="6">
        <v>44</v>
      </c>
      <c r="I14" s="11">
        <v>2947.5700000000002</v>
      </c>
      <c r="J14" s="11">
        <f t="shared" si="0"/>
        <v>129693.08</v>
      </c>
      <c r="L14" s="15"/>
      <c r="N14" s="14"/>
    </row>
    <row r="15" ht="28.5">
      <c r="A15" s="6">
        <v>7</v>
      </c>
      <c r="B15" s="12">
        <v>5627510151</v>
      </c>
      <c r="C15" s="12" t="s">
        <v>26</v>
      </c>
      <c r="D15" s="6" t="s">
        <v>27</v>
      </c>
      <c r="E15" s="8" t="s">
        <v>15</v>
      </c>
      <c r="F15" s="12"/>
      <c r="G15" s="6" t="s">
        <v>16</v>
      </c>
      <c r="H15" s="6">
        <v>10</v>
      </c>
      <c r="I15" s="17">
        <v>10215.799999999999</v>
      </c>
      <c r="J15" s="11">
        <f t="shared" si="0"/>
        <v>102158</v>
      </c>
      <c r="L15" s="15"/>
      <c r="N15" s="14"/>
    </row>
    <row r="16" ht="28.5">
      <c r="A16" s="6">
        <v>8</v>
      </c>
      <c r="B16" s="12">
        <v>1000021267</v>
      </c>
      <c r="C16" s="12" t="s">
        <v>28</v>
      </c>
      <c r="D16" s="10" t="s">
        <v>18</v>
      </c>
      <c r="E16" s="8" t="s">
        <v>15</v>
      </c>
      <c r="F16" s="12"/>
      <c r="G16" s="6" t="s">
        <v>16</v>
      </c>
      <c r="H16" s="6">
        <v>26</v>
      </c>
      <c r="I16" s="11">
        <v>11374.59</v>
      </c>
      <c r="J16" s="11">
        <f t="shared" si="0"/>
        <v>295739.34000000003</v>
      </c>
      <c r="L16" s="15"/>
      <c r="N16" s="14"/>
    </row>
    <row r="17" ht="15">
      <c r="A17" s="6">
        <v>9</v>
      </c>
      <c r="B17" s="12">
        <v>1000021259</v>
      </c>
      <c r="C17" s="12" t="s">
        <v>29</v>
      </c>
      <c r="D17" s="6" t="s">
        <v>18</v>
      </c>
      <c r="E17" s="8" t="s">
        <v>15</v>
      </c>
      <c r="F17" s="12"/>
      <c r="G17" s="6" t="s">
        <v>16</v>
      </c>
      <c r="H17" s="6">
        <v>16</v>
      </c>
      <c r="I17" s="11">
        <v>14475.4</v>
      </c>
      <c r="J17" s="11">
        <f t="shared" si="0"/>
        <v>231606.39999999999</v>
      </c>
      <c r="L17" s="15"/>
      <c r="N17" s="14"/>
    </row>
    <row r="18" ht="16.5" customHeight="1">
      <c r="A18" s="6" t="s">
        <v>30</v>
      </c>
      <c r="B18" s="6"/>
      <c r="C18" s="6"/>
      <c r="D18" s="6"/>
      <c r="E18" s="6"/>
      <c r="F18" s="6"/>
      <c r="G18" s="6"/>
      <c r="H18" s="6"/>
      <c r="I18" s="6"/>
      <c r="J18" s="11">
        <f>SUM(J9:J17)</f>
        <v>1467920.2899999998</v>
      </c>
    </row>
    <row r="19" ht="14.25"/>
    <row r="20" hidden="1">
      <c r="J20">
        <v>4533.2400000000007</v>
      </c>
      <c r="K20" t="s">
        <v>31</v>
      </c>
    </row>
    <row r="21" hidden="1">
      <c r="J21">
        <v>106195.68000000002</v>
      </c>
      <c r="K21" t="s">
        <v>32</v>
      </c>
    </row>
    <row r="22" hidden="1">
      <c r="J22">
        <v>16320.34</v>
      </c>
      <c r="K22" t="s">
        <v>33</v>
      </c>
    </row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5" ht="14.25"/>
  </sheetData>
  <autoFilter ref="A8:J18">
    <filterColumn colId="3"/>
    <sortState ref="A9:J56">
      <sortCondition ref="C8:C48"/>
    </sortState>
  </autoFilter>
  <mergeCells count="2">
    <mergeCell ref="A5:J5"/>
    <mergeCell ref="A18:I1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Avdeeva_OP</dc:creator>
  <cp:lastModifiedBy>Drozdov_NV</cp:lastModifiedBy>
  <cp:revision>24</cp:revision>
  <dcterms:created xsi:type="dcterms:W3CDTF">2021-08-12T08:44:55Z</dcterms:created>
  <dcterms:modified xsi:type="dcterms:W3CDTF">2026-08-19T04:36:24Z</dcterms:modified>
</cp:coreProperties>
</file>