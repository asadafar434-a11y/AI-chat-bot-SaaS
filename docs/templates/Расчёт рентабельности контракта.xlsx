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ga\Desktop\"/>
    </mc:Choice>
  </mc:AlternateContent>
  <bookViews>
    <workbookView xWindow="0" yWindow="0" windowWidth="28800" windowHeight="12135"/>
  </bookViews>
  <sheets>
    <sheet name="Рентабельность участия в Госзак" sheetId="1" r:id="rId1"/>
    <sheet name="Рентабельность 1 контракта" sheetId="4" r:id="rId2"/>
    <sheet name="Снижение цены" sheetId="2" r:id="rId3"/>
  </sheets>
  <definedNames>
    <definedName name="_xlnm.Print_Area" localSheetId="0">'Рентабельность участия в Госзак'!$A:$B</definedName>
    <definedName name="_xlnm.Print_Area" localSheetId="2">'Снижение цены'!$A:$E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C23" i="2"/>
  <c r="B19" i="4" l="1"/>
  <c r="B11" i="4"/>
  <c r="B5" i="4"/>
  <c r="E3" i="2"/>
  <c r="E23" i="2"/>
  <c r="B16" i="1"/>
  <c r="B11" i="1"/>
  <c r="B9" i="1" s="1"/>
  <c r="B14" i="4"/>
  <c r="B9" i="4"/>
  <c r="B15" i="4" l="1"/>
  <c r="B12" i="4" s="1"/>
  <c r="B7" i="4"/>
  <c r="B5" i="1"/>
  <c r="B3" i="1" s="1"/>
  <c r="B17" i="4" l="1"/>
  <c r="B18" i="4" s="1"/>
  <c r="B20" i="4" l="1"/>
</calcChain>
</file>

<file path=xl/comments1.xml><?xml version="1.0" encoding="utf-8"?>
<comments xmlns="http://schemas.openxmlformats.org/spreadsheetml/2006/main">
  <authors>
    <author>Подсказка</author>
  </authors>
  <commentList>
    <comment ref="B6" authorId="0" shapeId="0">
      <text>
        <r>
          <rPr>
            <b/>
            <sz val="9"/>
            <color indexed="81"/>
            <rFont val="Tahoma"/>
            <family val="2"/>
            <charset val="204"/>
          </rPr>
          <t>Подсказка:</t>
        </r>
        <r>
          <rPr>
            <sz val="9"/>
            <color indexed="81"/>
            <rFont val="Tahoma"/>
            <family val="2"/>
            <charset val="204"/>
          </rPr>
          <t xml:space="preserve">
Заполнить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  <charset val="204"/>
          </rPr>
          <t>Подсказка:</t>
        </r>
        <r>
          <rPr>
            <sz val="9"/>
            <color indexed="81"/>
            <rFont val="Tahoma"/>
            <family val="2"/>
            <charset val="204"/>
          </rPr>
          <t xml:space="preserve">
Заполнить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Подсказка:</t>
        </r>
        <r>
          <rPr>
            <sz val="9"/>
            <color indexed="81"/>
            <rFont val="Tahoma"/>
            <family val="2"/>
            <charset val="204"/>
          </rPr>
          <t xml:space="preserve">
Заполнить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  <charset val="204"/>
          </rPr>
          <t>Подсказка:</t>
        </r>
        <r>
          <rPr>
            <sz val="9"/>
            <color indexed="81"/>
            <rFont val="Tahoma"/>
            <family val="2"/>
            <charset val="204"/>
          </rPr>
          <t xml:space="preserve">
заполнить</t>
        </r>
      </text>
    </comment>
  </commentList>
</comments>
</file>

<file path=xl/comments2.xml><?xml version="1.0" encoding="utf-8"?>
<comments xmlns="http://schemas.openxmlformats.org/spreadsheetml/2006/main">
  <authors>
    <author>Подсказка</author>
  </authors>
  <commentList>
    <comment ref="B3" authorId="0" shapeId="0">
      <text>
        <r>
          <rPr>
            <b/>
            <sz val="9"/>
            <color indexed="81"/>
            <rFont val="Tahoma"/>
            <family val="2"/>
            <charset val="204"/>
          </rPr>
          <t>Подсказка:</t>
        </r>
        <r>
          <rPr>
            <sz val="9"/>
            <color indexed="81"/>
            <rFont val="Tahoma"/>
            <family val="2"/>
            <charset val="204"/>
          </rPr>
          <t xml:space="preserve">
Заполнить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  <charset val="204"/>
          </rPr>
          <t>Подсказка:</t>
        </r>
        <r>
          <rPr>
            <sz val="9"/>
            <color indexed="81"/>
            <rFont val="Tahoma"/>
            <family val="2"/>
            <charset val="204"/>
          </rPr>
          <t xml:space="preserve">
Заполнить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  <charset val="204"/>
          </rPr>
          <t>Подсказка:</t>
        </r>
        <r>
          <rPr>
            <sz val="9"/>
            <color indexed="81"/>
            <rFont val="Tahoma"/>
            <family val="2"/>
            <charset val="204"/>
          </rPr>
          <t xml:space="preserve">
Выбрать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Подсказка:</t>
        </r>
        <r>
          <rPr>
            <sz val="9"/>
            <color indexed="81"/>
            <rFont val="Tahoma"/>
            <family val="2"/>
            <charset val="204"/>
          </rPr>
          <t xml:space="preserve">
Заполнить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Подсказка:</t>
        </r>
        <r>
          <rPr>
            <sz val="9"/>
            <color indexed="81"/>
            <rFont val="Tahoma"/>
            <family val="2"/>
            <charset val="204"/>
          </rPr>
          <t xml:space="preserve">
Выбрать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Подсказка:</t>
        </r>
        <r>
          <rPr>
            <sz val="9"/>
            <color indexed="81"/>
            <rFont val="Tahoma"/>
            <family val="2"/>
            <charset val="204"/>
          </rPr>
          <t xml:space="preserve">
Заполнить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Подсказка:</t>
        </r>
        <r>
          <rPr>
            <sz val="9"/>
            <color indexed="81"/>
            <rFont val="Tahoma"/>
            <family val="2"/>
            <charset val="204"/>
          </rPr>
          <t xml:space="preserve">
Заполнить</t>
        </r>
      </text>
    </comment>
  </commentList>
</comments>
</file>

<file path=xl/sharedStrings.xml><?xml version="1.0" encoding="utf-8"?>
<sst xmlns="http://schemas.openxmlformats.org/spreadsheetml/2006/main" count="38" uniqueCount="37">
  <si>
    <t>Рентабельность</t>
  </si>
  <si>
    <t>Среднее снижение</t>
  </si>
  <si>
    <t>НМЦ</t>
  </si>
  <si>
    <t>% Побед</t>
  </si>
  <si>
    <t>Прибыль текущая</t>
  </si>
  <si>
    <t>Выручка текущая</t>
  </si>
  <si>
    <t>Количество торгов</t>
  </si>
  <si>
    <t>Расчет рентабельности государственного контракта</t>
  </si>
  <si>
    <t>НМЦ контракта, руб.</t>
  </si>
  <si>
    <t>Сумма обеспечения участия, руб.</t>
  </si>
  <si>
    <t>Способ обеспечения участия</t>
  </si>
  <si>
    <t>Банковская гарантия</t>
  </si>
  <si>
    <t>Стоимость обеспечения участия</t>
  </si>
  <si>
    <t>Сумма обеспечения исполнения, руб.</t>
  </si>
  <si>
    <t>Способ обеспечения исполнения</t>
  </si>
  <si>
    <t>Собственные средства</t>
  </si>
  <si>
    <t>Срок обеспечения исполнения, дней</t>
  </si>
  <si>
    <t>Стоимость обеспечения исполнения, руб.</t>
  </si>
  <si>
    <t>Себестоимость выполнения контракта, руб.</t>
  </si>
  <si>
    <t>Рентабельность контракта</t>
  </si>
  <si>
    <t>Минимальное ценовое предложение, руб.</t>
  </si>
  <si>
    <t>Доступное снижение</t>
  </si>
  <si>
    <t>Название</t>
  </si>
  <si>
    <t>Итоговая стоимость</t>
  </si>
  <si>
    <t>Ваша прибыль</t>
  </si>
  <si>
    <t>Текущее ценовое предложение</t>
  </si>
  <si>
    <t>Расходы на обеспечение (максимум)</t>
  </si>
  <si>
    <t>Сумма контрактов</t>
  </si>
  <si>
    <t>Расчет рентабельности участия в госторгах</t>
  </si>
  <si>
    <t>% Снижения</t>
  </si>
  <si>
    <t>№ п/п</t>
  </si>
  <si>
    <t>Средний размер закупки</t>
  </si>
  <si>
    <t>Среднее снижение цены</t>
  </si>
  <si>
    <t>Требуемый объем закупок</t>
  </si>
  <si>
    <t>Планируемая прибыль</t>
  </si>
  <si>
    <t>Объем заключенных контрактов</t>
  </si>
  <si>
    <t>Данные - Анализ "что-если" - Подбор параметра…
Установить в ячейке "$B$3"
Значение: величина требуемой Вам прибыли
Изменяя значение ячейки: "$B$13"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</si>
</sst>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20"/>
      <color theme="1"/>
      <name val="Cambria"/>
      <family val="1"/>
      <charset val="204"/>
    </font>
    <font>
      <b/>
      <sz val="20"/>
      <color theme="1"/>
      <name val="Cambria"/>
      <family val="1"/>
      <charset val="204"/>
    </font>
    <font>
      <sz val="20"/>
      <color rgb="FFFF0000"/>
      <name val="Cambria"/>
      <family val="1"/>
      <charset val="204"/>
    </font>
    <font>
      <i/>
      <sz val="20"/>
      <color theme="1"/>
      <name val="Cambria"/>
      <family val="1"/>
      <charset val="204"/>
    </font>
    <font>
      <i/>
      <sz val="15"/>
      <color theme="1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4" fillId="0" borderId="2" xfId="0" applyFont="1" applyBorder="1"/>
    <xf numFmtId="43" fontId="4" fillId="0" borderId="3" xfId="1" applyFont="1" applyBorder="1" applyProtection="1">
      <protection locked="0"/>
    </xf>
    <xf numFmtId="0" fontId="4" fillId="2" borderId="4" xfId="0" applyFont="1" applyFill="1" applyBorder="1"/>
    <xf numFmtId="0" fontId="4" fillId="2" borderId="5" xfId="0" applyFont="1" applyFill="1" applyBorder="1"/>
    <xf numFmtId="0" fontId="4" fillId="0" borderId="6" xfId="0" applyFont="1" applyBorder="1"/>
    <xf numFmtId="43" fontId="4" fillId="0" borderId="7" xfId="1" applyFont="1" applyBorder="1" applyProtection="1">
      <protection locked="0"/>
    </xf>
    <xf numFmtId="0" fontId="4" fillId="0" borderId="8" xfId="0" applyFont="1" applyBorder="1"/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/>
    <xf numFmtId="43" fontId="4" fillId="0" borderId="11" xfId="1" applyFont="1" applyBorder="1" applyProtection="1">
      <protection hidden="1"/>
    </xf>
    <xf numFmtId="43" fontId="4" fillId="2" borderId="5" xfId="1" applyFont="1" applyFill="1" applyBorder="1"/>
    <xf numFmtId="0" fontId="4" fillId="0" borderId="9" xfId="0" applyFont="1" applyBorder="1" applyProtection="1">
      <protection locked="0"/>
    </xf>
    <xf numFmtId="9" fontId="4" fillId="0" borderId="11" xfId="2" applyFont="1" applyBorder="1" applyProtection="1">
      <protection hidden="1"/>
    </xf>
    <xf numFmtId="43" fontId="4" fillId="0" borderId="7" xfId="1" applyFont="1" applyBorder="1" applyProtection="1">
      <protection hidden="1"/>
    </xf>
    <xf numFmtId="0" fontId="4" fillId="0" borderId="13" xfId="0" applyFont="1" applyBorder="1"/>
    <xf numFmtId="9" fontId="4" fillId="0" borderId="14" xfId="2" applyFont="1" applyBorder="1" applyProtection="1">
      <protection hidden="1"/>
    </xf>
    <xf numFmtId="0" fontId="4" fillId="0" borderId="6" xfId="0" applyFont="1" applyFill="1" applyBorder="1"/>
    <xf numFmtId="43" fontId="4" fillId="0" borderId="7" xfId="0" applyNumberFormat="1" applyFont="1" applyBorder="1" applyProtection="1">
      <protection locked="0"/>
    </xf>
    <xf numFmtId="0" fontId="6" fillId="0" borderId="10" xfId="0" applyFont="1" applyFill="1" applyBorder="1"/>
    <xf numFmtId="43" fontId="6" fillId="0" borderId="11" xfId="0" applyNumberFormat="1" applyFont="1" applyBorder="1" applyProtection="1">
      <protection hidden="1"/>
    </xf>
    <xf numFmtId="0" fontId="4" fillId="0" borderId="0" xfId="0" applyFont="1"/>
    <xf numFmtId="43" fontId="4" fillId="0" borderId="0" xfId="1" applyFont="1"/>
    <xf numFmtId="9" fontId="4" fillId="0" borderId="9" xfId="2" applyFont="1" applyBorder="1" applyProtection="1">
      <protection hidden="1"/>
    </xf>
    <xf numFmtId="0" fontId="7" fillId="0" borderId="8" xfId="0" applyFont="1" applyBorder="1" applyAlignment="1">
      <alignment horizontal="right"/>
    </xf>
    <xf numFmtId="164" fontId="4" fillId="0" borderId="9" xfId="1" applyNumberFormat="1" applyFont="1" applyBorder="1" applyProtection="1">
      <protection hidden="1"/>
    </xf>
    <xf numFmtId="164" fontId="4" fillId="0" borderId="11" xfId="1" applyNumberFormat="1" applyFont="1" applyBorder="1" applyProtection="1">
      <protection hidden="1"/>
    </xf>
    <xf numFmtId="0" fontId="7" fillId="0" borderId="13" xfId="0" applyFont="1" applyBorder="1" applyAlignment="1">
      <alignment horizontal="right"/>
    </xf>
    <xf numFmtId="43" fontId="4" fillId="0" borderId="14" xfId="1" applyFont="1" applyBorder="1" applyProtection="1">
      <protection locked="0"/>
    </xf>
    <xf numFmtId="0" fontId="4" fillId="0" borderId="17" xfId="0" applyFont="1" applyBorder="1"/>
    <xf numFmtId="164" fontId="4" fillId="0" borderId="18" xfId="1" applyNumberFormat="1" applyFont="1" applyBorder="1" applyProtection="1">
      <protection hidden="1"/>
    </xf>
    <xf numFmtId="43" fontId="4" fillId="0" borderId="18" xfId="1" applyFont="1" applyBorder="1" applyProtection="1">
      <protection locked="0"/>
    </xf>
    <xf numFmtId="9" fontId="4" fillId="0" borderId="18" xfId="2" applyFont="1" applyBorder="1" applyProtection="1">
      <protection hidden="1"/>
    </xf>
    <xf numFmtId="0" fontId="4" fillId="2" borderId="2" xfId="0" applyFont="1" applyFill="1" applyBorder="1"/>
    <xf numFmtId="43" fontId="4" fillId="2" borderId="3" xfId="1" applyFont="1" applyFill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9" xfId="0" applyBorder="1" applyProtection="1">
      <protection hidden="1"/>
    </xf>
    <xf numFmtId="164" fontId="4" fillId="0" borderId="19" xfId="1" applyNumberFormat="1" applyFont="1" applyBorder="1" applyAlignment="1">
      <alignment horizontal="center"/>
    </xf>
    <xf numFmtId="164" fontId="4" fillId="0" borderId="12" xfId="1" applyNumberFormat="1" applyFont="1" applyBorder="1" applyProtection="1">
      <protection locked="0"/>
    </xf>
    <xf numFmtId="164" fontId="4" fillId="0" borderId="0" xfId="1" applyNumberFormat="1" applyFont="1"/>
    <xf numFmtId="0" fontId="4" fillId="0" borderId="19" xfId="0" applyFont="1" applyBorder="1" applyAlignment="1">
      <alignment horizontal="center" wrapText="1"/>
    </xf>
    <xf numFmtId="0" fontId="4" fillId="0" borderId="12" xfId="0" applyFont="1" applyBorder="1" applyAlignment="1" applyProtection="1">
      <alignment wrapText="1"/>
      <protection locked="0"/>
    </xf>
    <xf numFmtId="0" fontId="4" fillId="0" borderId="0" xfId="0" applyFont="1" applyAlignment="1">
      <alignment wrapText="1"/>
    </xf>
    <xf numFmtId="0" fontId="4" fillId="0" borderId="20" xfId="0" applyFont="1" applyBorder="1" applyAlignment="1" applyProtection="1">
      <alignment wrapText="1"/>
      <protection locked="0"/>
    </xf>
    <xf numFmtId="164" fontId="4" fillId="0" borderId="20" xfId="1" applyNumberFormat="1" applyFont="1" applyBorder="1" applyProtection="1">
      <protection locked="0"/>
    </xf>
    <xf numFmtId="0" fontId="0" fillId="0" borderId="14" xfId="0" applyBorder="1" applyProtection="1">
      <protection hidden="1"/>
    </xf>
    <xf numFmtId="9" fontId="5" fillId="0" borderId="3" xfId="2" applyFont="1" applyBorder="1" applyProtection="1">
      <protection hidden="1"/>
    </xf>
    <xf numFmtId="0" fontId="6" fillId="0" borderId="15" xfId="0" applyFont="1" applyBorder="1"/>
    <xf numFmtId="4" fontId="6" fillId="0" borderId="16" xfId="1" applyNumberFormat="1" applyFont="1" applyBorder="1" applyProtection="1">
      <protection hidden="1"/>
    </xf>
    <xf numFmtId="164" fontId="7" fillId="0" borderId="9" xfId="1" applyNumberFormat="1" applyFont="1" applyBorder="1" applyProtection="1">
      <protection locked="0"/>
    </xf>
    <xf numFmtId="164" fontId="7" fillId="0" borderId="14" xfId="1" applyNumberFormat="1" applyFont="1" applyBorder="1" applyProtection="1">
      <protection locked="0"/>
    </xf>
    <xf numFmtId="9" fontId="7" fillId="0" borderId="9" xfId="1" applyNumberFormat="1" applyFont="1" applyBorder="1" applyProtection="1">
      <protection locked="0"/>
    </xf>
    <xf numFmtId="0" fontId="8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21" xfId="0" applyFont="1" applyBorder="1" applyAlignment="1"/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164" fontId="5" fillId="0" borderId="3" xfId="1" applyNumberFormat="1" applyFont="1" applyBorder="1" applyProtection="1">
      <protection hidden="1"/>
    </xf>
    <xf numFmtId="43" fontId="4" fillId="0" borderId="3" xfId="1" applyFont="1" applyBorder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tender-rus.ru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tender-rus.ru/" TargetMode="Externa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0</xdr:row>
      <xdr:rowOff>114300</xdr:rowOff>
    </xdr:from>
    <xdr:to>
      <xdr:col>1</xdr:col>
      <xdr:colOff>285469</xdr:colOff>
      <xdr:row>0</xdr:row>
      <xdr:rowOff>1609538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125" y="114300"/>
          <a:ext cx="2247619" cy="1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20</xdr:row>
      <xdr:rowOff>171451</xdr:rowOff>
    </xdr:from>
    <xdr:to>
      <xdr:col>1</xdr:col>
      <xdr:colOff>2005794</xdr:colOff>
      <xdr:row>31</xdr:row>
      <xdr:rowOff>171451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50" y="7820026"/>
          <a:ext cx="6092019" cy="3562350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3200400</xdr:colOff>
      <xdr:row>0</xdr:row>
      <xdr:rowOff>66675</xdr:rowOff>
    </xdr:from>
    <xdr:to>
      <xdr:col>1</xdr:col>
      <xdr:colOff>37819</xdr:colOff>
      <xdr:row>0</xdr:row>
      <xdr:rowOff>1561913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0400" y="66675"/>
          <a:ext cx="2247619" cy="14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1295400</xdr:colOff>
      <xdr:row>0</xdr:row>
      <xdr:rowOff>57150</xdr:rowOff>
    </xdr:from>
    <xdr:to>
      <xdr:col>3</xdr:col>
      <xdr:colOff>66394</xdr:colOff>
      <xdr:row>0</xdr:row>
      <xdr:rowOff>1552388</xdr:rowOff>
    </xdr:to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3550" y="57150"/>
          <a:ext cx="2247619" cy="1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20"/>
  <sheetViews>
    <sheetView tabSelected="1" workbookViewId="0">
      <selection activeCell="B5" sqref="B5"/>
    </sheetView>
  </sheetViews>
  <sheetFormatPr defaultRowHeight="25.5" x14ac:dyDescent="0.35"/>
  <cols>
    <col min="1" max="1" width="67.28515625" style="22" bestFit="1" customWidth="1"/>
    <col min="2" max="2" width="34" style="23" bestFit="1" customWidth="1"/>
  </cols>
  <sheetData>
    <row r="1" spans="1:2" ht="136.5" customHeight="1" x14ac:dyDescent="0.35"/>
    <row r="2" spans="1:2" ht="26.25" thickBot="1" x14ac:dyDescent="0.4">
      <c r="A2" s="55" t="s">
        <v>28</v>
      </c>
      <c r="B2" s="55"/>
    </row>
    <row r="3" spans="1:2" ht="26.25" thickBot="1" x14ac:dyDescent="0.4">
      <c r="A3" s="49" t="s">
        <v>34</v>
      </c>
      <c r="B3" s="50">
        <f>B9*B5-B18</f>
        <v>99999.999999999884</v>
      </c>
    </row>
    <row r="4" spans="1:2" ht="9.9499999999999993" customHeight="1" thickBot="1" x14ac:dyDescent="0.4">
      <c r="A4" s="34"/>
      <c r="B4" s="35"/>
    </row>
    <row r="5" spans="1:2" x14ac:dyDescent="0.35">
      <c r="A5" s="30" t="s">
        <v>0</v>
      </c>
      <c r="B5" s="33">
        <f>B6/B7</f>
        <v>0.25</v>
      </c>
    </row>
    <row r="6" spans="1:2" x14ac:dyDescent="0.35">
      <c r="A6" s="25" t="s">
        <v>4</v>
      </c>
      <c r="B6" s="51">
        <v>100000</v>
      </c>
    </row>
    <row r="7" spans="1:2" ht="26.25" thickBot="1" x14ac:dyDescent="0.4">
      <c r="A7" s="28" t="s">
        <v>5</v>
      </c>
      <c r="B7" s="52">
        <v>400000</v>
      </c>
    </row>
    <row r="8" spans="1:2" ht="9.9499999999999993" customHeight="1" thickBot="1" x14ac:dyDescent="0.4">
      <c r="A8" s="34"/>
      <c r="B8" s="35"/>
    </row>
    <row r="9" spans="1:2" x14ac:dyDescent="0.35">
      <c r="A9" s="30" t="s">
        <v>35</v>
      </c>
      <c r="B9" s="31">
        <f>B11*B10</f>
        <v>462279.29373996734</v>
      </c>
    </row>
    <row r="10" spans="1:2" x14ac:dyDescent="0.35">
      <c r="A10" s="8" t="s">
        <v>3</v>
      </c>
      <c r="B10" s="53">
        <v>0.25</v>
      </c>
    </row>
    <row r="11" spans="1:2" hidden="1" x14ac:dyDescent="0.35">
      <c r="A11" s="8" t="s">
        <v>27</v>
      </c>
      <c r="B11" s="26">
        <f>B13*(1-B12)</f>
        <v>1849117.1749598694</v>
      </c>
    </row>
    <row r="12" spans="1:2" x14ac:dyDescent="0.35">
      <c r="A12" s="8" t="s">
        <v>1</v>
      </c>
      <c r="B12" s="53">
        <v>0.28000000000000003</v>
      </c>
    </row>
    <row r="13" spans="1:2" ht="26.25" thickBot="1" x14ac:dyDescent="0.4">
      <c r="A13" s="16" t="s">
        <v>33</v>
      </c>
      <c r="B13" s="29">
        <v>2568218.2985553741</v>
      </c>
    </row>
    <row r="14" spans="1:2" ht="9.9499999999999993" customHeight="1" thickBot="1" x14ac:dyDescent="0.4">
      <c r="A14" s="34"/>
      <c r="B14" s="35"/>
    </row>
    <row r="15" spans="1:2" x14ac:dyDescent="0.35">
      <c r="A15" s="30" t="s">
        <v>31</v>
      </c>
      <c r="B15" s="32">
        <v>50000</v>
      </c>
    </row>
    <row r="16" spans="1:2" ht="26.25" thickBot="1" x14ac:dyDescent="0.4">
      <c r="A16" s="10" t="s">
        <v>6</v>
      </c>
      <c r="B16" s="27">
        <f>B13/B15</f>
        <v>51.364365971107482</v>
      </c>
    </row>
    <row r="17" spans="1:2" ht="9.9499999999999993" customHeight="1" thickBot="1" x14ac:dyDescent="0.4">
      <c r="A17" s="34"/>
      <c r="B17" s="35"/>
    </row>
    <row r="18" spans="1:2" ht="26.25" thickBot="1" x14ac:dyDescent="0.4">
      <c r="A18" s="2" t="s">
        <v>26</v>
      </c>
      <c r="B18" s="61">
        <f>B13*5%*4%+B13*30%*5%/12*13*B10</f>
        <v>15569.823434991955</v>
      </c>
    </row>
    <row r="20" spans="1:2" ht="90.75" customHeight="1" x14ac:dyDescent="0.25">
      <c r="A20" s="54" t="s">
        <v>36</v>
      </c>
      <c r="B20" s="54"/>
    </row>
  </sheetData>
  <sheetProtection algorithmName="SHA-512" hashValue="jn33MmL0+usrElE1eadXru1lQnlgfKf51tQAOkGk8L/VYWaYNze7DfS5m83FvjHaplW1FtPhuhCfaMs2qI9P8w==" saltValue="W37qn3WxDuv06yb3mAAu4Q==" spinCount="100000" sheet="1" objects="1" scenarios="1"/>
  <mergeCells count="2">
    <mergeCell ref="A20:B20"/>
    <mergeCell ref="A2:B2"/>
  </mergeCells>
  <pageMargins left="0.7" right="0.7" top="0.75" bottom="0.75" header="0.3" footer="0.3"/>
  <pageSetup paperSize="9" scale="86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20"/>
  <sheetViews>
    <sheetView showWhiteSpace="0" topLeftCell="A4" zoomScaleNormal="100" workbookViewId="0">
      <selection activeCell="B19" sqref="B19"/>
    </sheetView>
  </sheetViews>
  <sheetFormatPr defaultRowHeight="25.5" x14ac:dyDescent="0.35"/>
  <cols>
    <col min="1" max="1" width="81.140625" style="22" bestFit="1" customWidth="1"/>
    <col min="2" max="2" width="52.140625" style="22" customWidth="1"/>
  </cols>
  <sheetData>
    <row r="1" spans="1:2" ht="126" customHeight="1" x14ac:dyDescent="0.35">
      <c r="A1" s="56"/>
      <c r="B1" s="56"/>
    </row>
    <row r="2" spans="1:2" ht="26.25" thickBot="1" x14ac:dyDescent="0.4">
      <c r="A2" s="55" t="s">
        <v>7</v>
      </c>
      <c r="B2" s="55"/>
    </row>
    <row r="3" spans="1:2" ht="26.25" thickBot="1" x14ac:dyDescent="0.4">
      <c r="A3" s="2" t="s">
        <v>8</v>
      </c>
      <c r="B3" s="3">
        <v>50000000</v>
      </c>
    </row>
    <row r="4" spans="1:2" ht="5.0999999999999996" customHeight="1" thickBot="1" x14ac:dyDescent="0.4">
      <c r="A4" s="4"/>
      <c r="B4" s="5"/>
    </row>
    <row r="5" spans="1:2" x14ac:dyDescent="0.35">
      <c r="A5" s="6" t="s">
        <v>9</v>
      </c>
      <c r="B5" s="7">
        <f>B3*5%</f>
        <v>2500000</v>
      </c>
    </row>
    <row r="6" spans="1:2" x14ac:dyDescent="0.35">
      <c r="A6" s="8" t="s">
        <v>10</v>
      </c>
      <c r="B6" s="9" t="s">
        <v>11</v>
      </c>
    </row>
    <row r="7" spans="1:2" ht="26.25" thickBot="1" x14ac:dyDescent="0.4">
      <c r="A7" s="10" t="s">
        <v>12</v>
      </c>
      <c r="B7" s="11">
        <f>IF(B6="Собственные средства",B5*B15/365*45,IF(B6="Банковская гарантия",B5*5%/365*60,B5*4%))</f>
        <v>20547.945205479453</v>
      </c>
    </row>
    <row r="8" spans="1:2" ht="5.0999999999999996" customHeight="1" thickBot="1" x14ac:dyDescent="0.4">
      <c r="A8" s="4"/>
      <c r="B8" s="12"/>
    </row>
    <row r="9" spans="1:2" x14ac:dyDescent="0.35">
      <c r="A9" s="6" t="s">
        <v>13</v>
      </c>
      <c r="B9" s="7">
        <f>B3*30%</f>
        <v>15000000</v>
      </c>
    </row>
    <row r="10" spans="1:2" x14ac:dyDescent="0.35">
      <c r="A10" s="8" t="s">
        <v>14</v>
      </c>
      <c r="B10" s="9" t="s">
        <v>15</v>
      </c>
    </row>
    <row r="11" spans="1:2" x14ac:dyDescent="0.35">
      <c r="A11" s="8" t="s">
        <v>16</v>
      </c>
      <c r="B11" s="13">
        <f>365+30</f>
        <v>395</v>
      </c>
    </row>
    <row r="12" spans="1:2" ht="26.25" thickBot="1" x14ac:dyDescent="0.4">
      <c r="A12" s="10" t="s">
        <v>17</v>
      </c>
      <c r="B12" s="11">
        <f>IF(B10="Собственные средства",B9*B15/365*B11,B9*5%/365*B11)</f>
        <v>3246575.3424657532</v>
      </c>
    </row>
    <row r="13" spans="1:2" ht="5.0999999999999996" customHeight="1" thickBot="1" x14ac:dyDescent="0.4">
      <c r="A13" s="4"/>
      <c r="B13" s="12"/>
    </row>
    <row r="14" spans="1:2" x14ac:dyDescent="0.35">
      <c r="A14" s="6" t="s">
        <v>18</v>
      </c>
      <c r="B14" s="7">
        <f>B3*80%</f>
        <v>40000000</v>
      </c>
    </row>
    <row r="15" spans="1:2" ht="26.25" thickBot="1" x14ac:dyDescent="0.4">
      <c r="A15" s="10" t="s">
        <v>19</v>
      </c>
      <c r="B15" s="14">
        <f>(B3-B14)/B3</f>
        <v>0.2</v>
      </c>
    </row>
    <row r="16" spans="1:2" ht="5.0999999999999996" customHeight="1" thickBot="1" x14ac:dyDescent="0.4">
      <c r="A16" s="4"/>
      <c r="B16" s="5"/>
    </row>
    <row r="17" spans="1:2" x14ac:dyDescent="0.35">
      <c r="A17" s="6" t="s">
        <v>20</v>
      </c>
      <c r="B17" s="15">
        <f>B14+B12+B7</f>
        <v>43267123.287671231</v>
      </c>
    </row>
    <row r="18" spans="1:2" ht="26.25" thickBot="1" x14ac:dyDescent="0.4">
      <c r="A18" s="16" t="s">
        <v>21</v>
      </c>
      <c r="B18" s="17">
        <f>1-B17/B3</f>
        <v>0.13465753424657534</v>
      </c>
    </row>
    <row r="19" spans="1:2" x14ac:dyDescent="0.35">
      <c r="A19" s="18" t="s">
        <v>25</v>
      </c>
      <c r="B19" s="19">
        <f>B3</f>
        <v>50000000</v>
      </c>
    </row>
    <row r="20" spans="1:2" ht="26.25" thickBot="1" x14ac:dyDescent="0.4">
      <c r="A20" s="20" t="s">
        <v>24</v>
      </c>
      <c r="B20" s="21">
        <f>B19-B17</f>
        <v>6732876.7123287693</v>
      </c>
    </row>
  </sheetData>
  <sheetProtection algorithmName="SHA-512" hashValue="l0YSRiRzTkYUk1MNXGmX/KMuEZYKuU83PnqUSPf1jI+nJdhsoc8uZNJ92dsQVONSbQLbpF5e1GqRb2y0EbO0rQ==" saltValue="ha+51sESsVEhNx2Wvdt5Eg==" spinCount="100000" sheet="1" objects="1" scenarios="1" selectLockedCells="1"/>
  <protectedRanges>
    <protectedRange sqref="B3 B5:B6 B9:B11 B14" name="Диапазон1"/>
  </protectedRanges>
  <mergeCells count="2">
    <mergeCell ref="A1:B1"/>
    <mergeCell ref="A2:B2"/>
  </mergeCells>
  <dataValidations count="2">
    <dataValidation type="list" allowBlank="1" showInputMessage="1" showErrorMessage="1" sqref="B10">
      <formula1>"Собственные средства, Банковская гарантия"</formula1>
    </dataValidation>
    <dataValidation type="list" allowBlank="1" showInputMessage="1" showErrorMessage="1" sqref="B6">
      <formula1>"Собственные средства, Тендерный займ, Банковская гарантия"</formula1>
    </dataValidation>
  </dataValidations>
  <pageMargins left="0.25" right="0.25" top="0.75" bottom="0.75" header="0.3" footer="0.3"/>
  <pageSetup paperSize="9" scale="74" fitToHeight="0" orientation="portrait" r:id="rId1"/>
  <headerFooter>
    <oddHeader>&amp;C
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"/>
  <sheetViews>
    <sheetView topLeftCell="A16" workbookViewId="0">
      <selection activeCell="C23" sqref="C23"/>
    </sheetView>
  </sheetViews>
  <sheetFormatPr defaultRowHeight="25.5" x14ac:dyDescent="0.35"/>
  <cols>
    <col min="1" max="1" width="12.5703125" bestFit="1" customWidth="1"/>
    <col min="2" max="2" width="51.140625" style="44" customWidth="1"/>
    <col min="3" max="3" width="52.140625" style="41" customWidth="1"/>
    <col min="4" max="4" width="55.140625" style="41" customWidth="1"/>
    <col min="5" max="5" width="24.140625" bestFit="1" customWidth="1"/>
  </cols>
  <sheetData>
    <row r="1" spans="1:5" ht="126" customHeight="1" thickBot="1" x14ac:dyDescent="0.4">
      <c r="B1" s="56"/>
      <c r="C1" s="56"/>
      <c r="D1" s="56"/>
    </row>
    <row r="2" spans="1:5" s="1" customFormat="1" x14ac:dyDescent="0.35">
      <c r="A2" s="36" t="s">
        <v>30</v>
      </c>
      <c r="B2" s="42" t="s">
        <v>22</v>
      </c>
      <c r="C2" s="39" t="s">
        <v>2</v>
      </c>
      <c r="D2" s="39" t="s">
        <v>23</v>
      </c>
      <c r="E2" s="37" t="s">
        <v>29</v>
      </c>
    </row>
    <row r="3" spans="1:5" x14ac:dyDescent="0.35">
      <c r="A3" s="8">
        <v>1</v>
      </c>
      <c r="B3" s="43"/>
      <c r="C3" s="40">
        <v>1000000000</v>
      </c>
      <c r="D3" s="40">
        <v>750000000</v>
      </c>
      <c r="E3" s="24">
        <f>1-(D3/C3)</f>
        <v>0.25</v>
      </c>
    </row>
    <row r="4" spans="1:5" x14ac:dyDescent="0.35">
      <c r="A4" s="8">
        <v>2</v>
      </c>
      <c r="B4" s="43"/>
      <c r="C4" s="40"/>
      <c r="D4" s="40"/>
      <c r="E4" s="38"/>
    </row>
    <row r="5" spans="1:5" x14ac:dyDescent="0.35">
      <c r="A5" s="8">
        <v>3</v>
      </c>
      <c r="B5" s="43"/>
      <c r="C5" s="40"/>
      <c r="D5" s="40"/>
      <c r="E5" s="38"/>
    </row>
    <row r="6" spans="1:5" x14ac:dyDescent="0.35">
      <c r="A6" s="8">
        <v>4</v>
      </c>
      <c r="B6" s="43"/>
      <c r="C6" s="40"/>
      <c r="D6" s="40"/>
      <c r="E6" s="38"/>
    </row>
    <row r="7" spans="1:5" x14ac:dyDescent="0.35">
      <c r="A7" s="8">
        <v>5</v>
      </c>
      <c r="B7" s="43"/>
      <c r="C7" s="40"/>
      <c r="D7" s="40"/>
      <c r="E7" s="38"/>
    </row>
    <row r="8" spans="1:5" x14ac:dyDescent="0.35">
      <c r="A8" s="8">
        <v>6</v>
      </c>
      <c r="B8" s="43"/>
      <c r="C8" s="40"/>
      <c r="D8" s="40"/>
      <c r="E8" s="38"/>
    </row>
    <row r="9" spans="1:5" x14ac:dyDescent="0.35">
      <c r="A9" s="8">
        <v>7</v>
      </c>
      <c r="B9" s="43"/>
      <c r="C9" s="40"/>
      <c r="D9" s="40"/>
      <c r="E9" s="38"/>
    </row>
    <row r="10" spans="1:5" x14ac:dyDescent="0.35">
      <c r="A10" s="8">
        <v>8</v>
      </c>
      <c r="B10" s="43"/>
      <c r="C10" s="40"/>
      <c r="D10" s="40"/>
      <c r="E10" s="38"/>
    </row>
    <row r="11" spans="1:5" x14ac:dyDescent="0.35">
      <c r="A11" s="8">
        <v>9</v>
      </c>
      <c r="B11" s="43"/>
      <c r="C11" s="40"/>
      <c r="D11" s="40"/>
      <c r="E11" s="38"/>
    </row>
    <row r="12" spans="1:5" x14ac:dyDescent="0.35">
      <c r="A12" s="8">
        <v>10</v>
      </c>
      <c r="B12" s="43"/>
      <c r="C12" s="40"/>
      <c r="D12" s="40"/>
      <c r="E12" s="38"/>
    </row>
    <row r="13" spans="1:5" x14ac:dyDescent="0.35">
      <c r="A13" s="8">
        <v>11</v>
      </c>
      <c r="B13" s="43"/>
      <c r="C13" s="40"/>
      <c r="D13" s="40"/>
      <c r="E13" s="38"/>
    </row>
    <row r="14" spans="1:5" x14ac:dyDescent="0.35">
      <c r="A14" s="8">
        <v>12</v>
      </c>
      <c r="B14" s="43"/>
      <c r="C14" s="40"/>
      <c r="D14" s="40"/>
      <c r="E14" s="38"/>
    </row>
    <row r="15" spans="1:5" x14ac:dyDescent="0.35">
      <c r="A15" s="8">
        <v>13</v>
      </c>
      <c r="B15" s="43"/>
      <c r="C15" s="40"/>
      <c r="D15" s="40"/>
      <c r="E15" s="38"/>
    </row>
    <row r="16" spans="1:5" x14ac:dyDescent="0.35">
      <c r="A16" s="8">
        <v>14</v>
      </c>
      <c r="B16" s="43"/>
      <c r="C16" s="40"/>
      <c r="D16" s="40"/>
      <c r="E16" s="38"/>
    </row>
    <row r="17" spans="1:5" x14ac:dyDescent="0.35">
      <c r="A17" s="8">
        <v>15</v>
      </c>
      <c r="B17" s="43"/>
      <c r="C17" s="40"/>
      <c r="D17" s="40"/>
      <c r="E17" s="38"/>
    </row>
    <row r="18" spans="1:5" x14ac:dyDescent="0.35">
      <c r="A18" s="8">
        <v>16</v>
      </c>
      <c r="B18" s="43"/>
      <c r="C18" s="40"/>
      <c r="D18" s="40"/>
      <c r="E18" s="38"/>
    </row>
    <row r="19" spans="1:5" x14ac:dyDescent="0.35">
      <c r="A19" s="8">
        <v>17</v>
      </c>
      <c r="B19" s="43"/>
      <c r="C19" s="40"/>
      <c r="D19" s="40"/>
      <c r="E19" s="38"/>
    </row>
    <row r="20" spans="1:5" x14ac:dyDescent="0.35">
      <c r="A20" s="8">
        <v>18</v>
      </c>
      <c r="B20" s="43"/>
      <c r="C20" s="40"/>
      <c r="D20" s="40"/>
      <c r="E20" s="38"/>
    </row>
    <row r="21" spans="1:5" x14ac:dyDescent="0.35">
      <c r="A21" s="8">
        <v>19</v>
      </c>
      <c r="B21" s="43"/>
      <c r="C21" s="40"/>
      <c r="D21" s="40"/>
      <c r="E21" s="38"/>
    </row>
    <row r="22" spans="1:5" ht="26.25" thickBot="1" x14ac:dyDescent="0.4">
      <c r="A22" s="16">
        <v>20</v>
      </c>
      <c r="B22" s="45"/>
      <c r="C22" s="46"/>
      <c r="D22" s="46"/>
      <c r="E22" s="47"/>
    </row>
    <row r="23" spans="1:5" ht="25.5" customHeight="1" thickBot="1" x14ac:dyDescent="0.4">
      <c r="A23" s="58" t="s">
        <v>31</v>
      </c>
      <c r="B23" s="59"/>
      <c r="C23" s="60">
        <f>AVERAGE(C3:C22)</f>
        <v>1000000000</v>
      </c>
      <c r="D23" s="57" t="s">
        <v>32</v>
      </c>
      <c r="E23" s="48">
        <f>AVERAGE(E3:E22)</f>
        <v>0.25</v>
      </c>
    </row>
  </sheetData>
  <sheetProtection algorithmName="SHA-512" hashValue="vgk8b+EETUxqizJ/n/HhLV7zjj4vhGOa2tWI63C2j/aB4zM1j1GMmySGKZ22XZn3YC1TXB9UUQdzqLzsiMLeaw==" saltValue="1DWafvpPaK2N3RHlTw64sg==" spinCount="100000" sheet="1" objects="1" scenarios="1"/>
  <mergeCells count="2">
    <mergeCell ref="B1:D1"/>
    <mergeCell ref="A23:B23"/>
  </mergeCells>
  <pageMargins left="0.25" right="0.25" top="0.75" bottom="0.75" header="0.3" footer="0.3"/>
  <pageSetup paperSize="9"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Рентабельность участия в Госзак</vt:lpstr>
      <vt:lpstr>Рентабельность 1 контракта</vt:lpstr>
      <vt:lpstr>Снижение цены</vt:lpstr>
      <vt:lpstr>'Рентабельность участия в Госзак'!Область_печати</vt:lpstr>
      <vt:lpstr>'Снижение цены'!Область_печати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2017-03-16T14:25:08Z</dcterms:created>
  <dcterms:modified xsi:type="dcterms:W3CDTF">2017-03-23T09:26:11Z</dcterms:modified>
</cp:coreProperties>
</file>